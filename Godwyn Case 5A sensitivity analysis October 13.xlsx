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8341FE07-F9E8-4AE3-A5E9-74DFBCB3E485}" xr6:coauthVersionLast="47" xr6:coauthVersionMax="47" xr10:uidLastSave="{00000000-0000-0000-0000-000000000000}"/>
  <bookViews>
    <workbookView xWindow="-23148" yWindow="-108" windowWidth="23256" windowHeight="12456" firstSheet="6" activeTab="9" xr2:uid="{8DD322BC-5D02-4870-BCD5-40063F203D6D}"/>
  </bookViews>
  <sheets>
    <sheet name="Case 5A p 0.05 NFIM 0.05" sheetId="69" r:id="rId1"/>
    <sheet name="Case 5A p 0.05 NFIM 0.10" sheetId="68" r:id="rId2"/>
    <sheet name="Case 5A p 0.05 NFIM 0.15" sheetId="70" r:id="rId3"/>
    <sheet name="Case 5A p 0.01 NFIM 0.05" sheetId="71" r:id="rId4"/>
    <sheet name="Case 5A p 0.01 NFIM 0.10" sheetId="76" r:id="rId5"/>
    <sheet name="Case 5A p 0.01 NFIM 0.15" sheetId="74" r:id="rId6"/>
    <sheet name="Case 5A p 0.001 NFIM 0.05" sheetId="75" r:id="rId7"/>
    <sheet name="Case 5A p 0.001 NFIM 0.10" sheetId="73" r:id="rId8"/>
    <sheet name="Case 5A p 0.001 NFIM 0.15" sheetId="77" r:id="rId9"/>
    <sheet name="Case 5A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42" l="1"/>
  <c r="N30" i="42"/>
  <c r="N29" i="42"/>
  <c r="N19" i="42"/>
  <c r="N18" i="42"/>
  <c r="N17" i="42"/>
  <c r="N16" i="42"/>
  <c r="H31" i="42"/>
  <c r="H30" i="42"/>
  <c r="H29" i="42"/>
  <c r="H18" i="42"/>
  <c r="H17" i="42"/>
  <c r="H16" i="42"/>
  <c r="B31" i="42"/>
  <c r="B30" i="42"/>
  <c r="B29" i="42"/>
  <c r="B18" i="42"/>
  <c r="B17" i="42"/>
  <c r="B16" i="42"/>
  <c r="N5" i="42"/>
  <c r="N4" i="42"/>
  <c r="N3" i="42"/>
  <c r="H5" i="42"/>
  <c r="H4" i="42"/>
  <c r="H3" i="42"/>
  <c r="B5" i="42"/>
  <c r="B4" i="42"/>
  <c r="B3" i="42"/>
  <c r="E6" i="77"/>
  <c r="E5" i="77"/>
  <c r="E4" i="77"/>
  <c r="C12" i="77"/>
  <c r="C9" i="77"/>
  <c r="C8" i="77"/>
  <c r="C10" i="77" s="1"/>
  <c r="G6" i="77"/>
  <c r="H6" i="77"/>
  <c r="G5" i="77"/>
  <c r="H5" i="77"/>
  <c r="G4" i="77"/>
  <c r="C11" i="77"/>
  <c r="E4" i="68"/>
  <c r="E6" i="76"/>
  <c r="H6" i="76" s="1"/>
  <c r="E5" i="76"/>
  <c r="E4" i="76"/>
  <c r="C9" i="76"/>
  <c r="C8" i="76"/>
  <c r="C10" i="76" s="1"/>
  <c r="G6" i="76"/>
  <c r="G5" i="76"/>
  <c r="G4" i="76"/>
  <c r="C12" i="76" s="1"/>
  <c r="E6" i="71"/>
  <c r="E5" i="71"/>
  <c r="E4" i="71"/>
  <c r="E6" i="73"/>
  <c r="E5" i="73"/>
  <c r="E4" i="73"/>
  <c r="E6" i="75"/>
  <c r="E5" i="75"/>
  <c r="E4" i="75"/>
  <c r="C11" i="75" s="1"/>
  <c r="C12" i="75"/>
  <c r="C9" i="75"/>
  <c r="C8" i="75"/>
  <c r="C10" i="75" s="1"/>
  <c r="G6" i="75"/>
  <c r="G5" i="75"/>
  <c r="H5" i="75"/>
  <c r="G4" i="75"/>
  <c r="E6" i="74"/>
  <c r="E5" i="74"/>
  <c r="E4" i="74"/>
  <c r="C12" i="74"/>
  <c r="C11" i="74"/>
  <c r="C9" i="74"/>
  <c r="C8" i="74"/>
  <c r="C10" i="74" s="1"/>
  <c r="G6" i="74"/>
  <c r="H6" i="74" s="1"/>
  <c r="G5" i="74"/>
  <c r="H5" i="74"/>
  <c r="G4" i="74"/>
  <c r="H4" i="74"/>
  <c r="C13" i="74" s="1"/>
  <c r="H6" i="73"/>
  <c r="C9" i="73"/>
  <c r="C8" i="73"/>
  <c r="C10" i="73" s="1"/>
  <c r="G6" i="73"/>
  <c r="G5" i="73"/>
  <c r="G4" i="73"/>
  <c r="C12" i="73" s="1"/>
  <c r="E4" i="69"/>
  <c r="H4" i="69" s="1"/>
  <c r="C9" i="71"/>
  <c r="C8" i="71"/>
  <c r="C10" i="71" s="1"/>
  <c r="G6" i="71"/>
  <c r="G5" i="71"/>
  <c r="H4" i="71"/>
  <c r="G4" i="71"/>
  <c r="C12" i="71" s="1"/>
  <c r="E4" i="70"/>
  <c r="G6" i="70"/>
  <c r="G5" i="70"/>
  <c r="G4" i="70"/>
  <c r="C9" i="70"/>
  <c r="C8" i="70"/>
  <c r="C10" i="70" s="1"/>
  <c r="E6" i="70"/>
  <c r="E5" i="70"/>
  <c r="C11" i="70" s="1"/>
  <c r="G6" i="69"/>
  <c r="G5" i="69"/>
  <c r="G4" i="69"/>
  <c r="C10" i="69"/>
  <c r="C9" i="69"/>
  <c r="C8" i="69"/>
  <c r="E6" i="69"/>
  <c r="H6" i="69" s="1"/>
  <c r="E5" i="69"/>
  <c r="C11" i="69" s="1"/>
  <c r="C10" i="68"/>
  <c r="C9" i="68"/>
  <c r="C8" i="68"/>
  <c r="G6" i="68"/>
  <c r="H6" i="68" s="1"/>
  <c r="E6" i="68"/>
  <c r="G5" i="68"/>
  <c r="E5" i="68"/>
  <c r="H5" i="68" s="1"/>
  <c r="G4" i="68"/>
  <c r="C12" i="68" s="1"/>
  <c r="C11" i="68"/>
  <c r="H4" i="77" l="1"/>
  <c r="C13" i="77" s="1"/>
  <c r="C11" i="76"/>
  <c r="H4" i="76"/>
  <c r="C13" i="76" s="1"/>
  <c r="H5" i="76"/>
  <c r="C11" i="71"/>
  <c r="H6" i="75"/>
  <c r="H4" i="75"/>
  <c r="C13" i="75" s="1"/>
  <c r="C11" i="73"/>
  <c r="H5" i="73"/>
  <c r="H4" i="73"/>
  <c r="C13" i="73" s="1"/>
  <c r="H6" i="71"/>
  <c r="C13" i="71" s="1"/>
  <c r="H5" i="71"/>
  <c r="H4" i="70"/>
  <c r="H6" i="70"/>
  <c r="H5" i="70"/>
  <c r="C12" i="70"/>
  <c r="H5" i="69"/>
  <c r="C13" i="69" s="1"/>
  <c r="C12" i="69"/>
  <c r="H4" i="68"/>
  <c r="C13" i="68" s="1"/>
  <c r="C13" i="70" l="1"/>
  <c r="N37" i="42" l="1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38" i="42" l="1"/>
  <c r="O25" i="42"/>
  <c r="I25" i="42"/>
  <c r="C25" i="42"/>
  <c r="O12" i="42"/>
  <c r="I38" i="42"/>
  <c r="I12" i="42"/>
  <c r="C38" i="42"/>
  <c r="C12" i="42"/>
  <c r="N38" i="42"/>
  <c r="N25" i="42"/>
  <c r="H25" i="42"/>
  <c r="J25" i="42" s="1"/>
  <c r="B25" i="42"/>
  <c r="H12" i="42"/>
  <c r="J12" i="42" s="1"/>
  <c r="N12" i="42"/>
  <c r="B38" i="42"/>
  <c r="H38" i="42"/>
  <c r="P38" i="42" l="1"/>
  <c r="P25" i="42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<sst xmlns="http://schemas.openxmlformats.org/spreadsheetml/2006/main" count="312" uniqueCount="34">
  <si>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</si>
  <si>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</si>
  <si>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</si>
  <si>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</si>
  <si>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</si>
  <si>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</si>
  <si>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</si>
  <si>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</si>
  <si>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</si>
  <si>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</si>
  <si>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</si>
  <si>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</si>
  <si>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</si>
  <si>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</si>
  <si>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Points</t>
  </si>
  <si>
    <t>Case 1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</si>
  <si>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</si>
  <si>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</si>
  <si>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</si>
  <si>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</si>
  <si>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</si>
  <si>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</si>
  <si>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</si>
  <si>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</si>
  <si>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</si>
  <si>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NFIM cutoff</t>
  </si>
  <si>
    <t>IsVCO—Decision Stump</t>
  </si>
  <si>
    <t>p-value</t>
  </si>
  <si>
    <t>p -value aligned to expectations?</t>
  </si>
  <si>
    <t>EDA alignment and NFIM alignment agree?</t>
  </si>
  <si>
    <t>UV-Vis Absorbance at 278 nm</t>
  </si>
  <si>
    <t>Diglyceride signal ratio</t>
  </si>
  <si>
    <t>Unsaturated carbon signal ratio</t>
  </si>
  <si>
    <t>p-value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</si>
</sst>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165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ABE3-C9AA-4BA4-B69F-AC6A7EA74CB9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0.05, "Yes", "No"), IF($D4 &gt;= 0.05, "Yes", "No"))</f>
        <v>Yes</v>
      </c>
      <c r="F4" s="21">
        <v>1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0.05, "Yes", "No"), IF($D5 &gt;= 0.05, "Yes", "No"))</f>
        <v>Yes</v>
      </c>
      <c r="F5">
        <v>0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0.05, "Yes", "No"), IF($D6 &gt;= 0.05, "Yes", "No"))</f>
        <v>No</v>
      </c>
      <c r="F6">
        <v>0</v>
      </c>
      <c r="G6" s="1" t="str">
        <f>IF($C6="Major", IF($F6 &gt; 0.05, "Yes", "No"), IF($F6 &lt;= 0.05,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1FA5-8783-4948-83EA-33481BF41B80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0.05, "Yes", "No"), IF($D4 &gt;= 0.05, "Yes", "No"))</f>
        <v>Yes</v>
      </c>
      <c r="F4" s="21">
        <v>1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0.05, "Yes", "No"), IF($D5 &gt;= 0.05, "Yes", "No"))</f>
        <v>Yes</v>
      </c>
      <c r="F5">
        <v>0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0.05, "Yes", "No"), IF($D6 &gt;= 0.05, "Yes", "No"))</f>
        <v>No</v>
      </c>
      <c r="F6">
        <v>0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AA6B-304F-4C5C-9018-B25E6500C529}">
  <dimension ref="B2:H13"/>
  <sheetViews>
    <sheetView topLeftCell="B1"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0.05, "Yes", "No"), IF($D4 &gt;= 0.05, "Yes", "No"))</f>
        <v>Yes</v>
      </c>
      <c r="F4" s="21">
        <v>1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0.05, "Yes", "No"), IF($D5 &gt;= 0.05, "Yes", "No"))</f>
        <v>Yes</v>
      </c>
      <c r="F5">
        <v>0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0.05, "Yes", "No"), IF($D6 &gt;= 0.05, "Yes", "No"))</f>
        <v>No</v>
      </c>
      <c r="F6">
        <v>0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17F6-C364-4C11-A3F3-1DAEC835F8E5}">
  <dimension ref="B2:H13"/>
  <sheetViews>
    <sheetView zoomScale="85" zoomScaleNormal="85" workbookViewId="0">
      <selection activeCell="E4" sqref="E4:E7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0.01, "Yes", "No"), IF($D4 &gt;= 0.01, "Yes", "No"))</f>
        <v>Yes</v>
      </c>
      <c r="F4" s="21">
        <v>1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0.01, "Yes", "No"), IF($D5 &gt;= 0.01, "Yes", "No"))</f>
        <v>Yes</v>
      </c>
      <c r="F5">
        <v>0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0.01, "Yes", "No"), IF($D6 &gt;= 0.01, "Yes", "No"))</f>
        <v>No</v>
      </c>
      <c r="F6">
        <v>0</v>
      </c>
      <c r="G6" s="1" t="str">
        <f>IF($C6="Major", IF($F6 &gt; 0.05, "Yes", "No"), IF($F6 &lt;= 0.05,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2D6D-D355-48DC-B7F1-190D275212F4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0.01, "Yes", "No"), IF($D4 &gt;= 0.01, "Yes", "No"))</f>
        <v>Yes</v>
      </c>
      <c r="F4" s="21">
        <v>1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0.01, "Yes", "No"), IF($D5 &gt;= 0.01, "Yes", "No"))</f>
        <v>Yes</v>
      </c>
      <c r="F5">
        <v>0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0.01, "Yes", "No"), IF($D6 &gt;= 0.01, "Yes", "No"))</f>
        <v>No</v>
      </c>
      <c r="F6">
        <v>0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86A6-8559-4E58-9B7F-7EAB444A0267}">
  <dimension ref="B2:H13"/>
  <sheetViews>
    <sheetView topLeftCell="B1"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0.01, "Yes", "No"), IF($D4 &gt;= 0.01, "Yes", "No"))</f>
        <v>Yes</v>
      </c>
      <c r="F4" s="21">
        <v>1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0.01, "Yes", "No"), IF($D5 &gt;= 0.01, "Yes", "No"))</f>
        <v>Yes</v>
      </c>
      <c r="F5">
        <v>0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0.01, "Yes", "No"), IF($D6 &gt;= 0.01, "Yes", "No"))</f>
        <v>No</v>
      </c>
      <c r="F6">
        <v>0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4B09-8055-42D5-9401-3875DCA86464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0.001, "Yes", "No"), IF($D4 &gt;= 0.001, "Yes", "No"))</f>
        <v>Yes</v>
      </c>
      <c r="F4" s="21">
        <v>1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0.001, "Yes", "No"), IF($D5 &gt;= 0.001, "Yes", "No"))</f>
        <v>Yes</v>
      </c>
      <c r="F5">
        <v>0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0.001, "Yes", "No"), IF($D6 &gt;= 0.001, "Yes", "No"))</f>
        <v>No</v>
      </c>
      <c r="F6">
        <v>0</v>
      </c>
      <c r="G6" s="1" t="str">
        <f>IF($C6="Major", IF($F6 &gt; 0.05, "Yes", "No"), IF($F6 &lt;= 0.05,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7128-17A0-464B-82AC-A0DEA9A99955}">
  <dimension ref="B2:H13"/>
  <sheetViews>
    <sheetView zoomScale="85" zoomScaleNormal="85" workbookViewId="0">
      <selection activeCell="E4" sqref="E4:E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0.001, "Yes", "No"), IF($D4 &gt;= 0.001, "Yes", "No"))</f>
        <v>Yes</v>
      </c>
      <c r="F4" s="21">
        <v>1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0.001, "Yes", "No"), IF($D5 &gt;= 0.001, "Yes", "No"))</f>
        <v>Yes</v>
      </c>
      <c r="F5">
        <v>0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0.001, "Yes", "No"), IF($D6 &gt;= 0.001, "Yes", "No"))</f>
        <v>No</v>
      </c>
      <c r="F6">
        <v>0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650B-C23E-4FCC-8696-7A8202DC0915}">
  <dimension ref="B2:H13"/>
  <sheetViews>
    <sheetView topLeftCell="B1" zoomScale="85" zoomScaleNormal="85" workbookViewId="0">
      <selection activeCell="E6" sqref="E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26</v>
      </c>
    </row>
    <row r="3" spans="2:8" x14ac:dyDescent="0.25">
      <c r="B3" t="s">
        <v>3</v>
      </c>
      <c r="C3" t="s">
        <v>4</v>
      </c>
      <c r="D3" s="1" t="s">
        <v>27</v>
      </c>
      <c r="E3" s="1" t="s">
        <v>28</v>
      </c>
      <c r="F3" s="1" t="s">
        <v>11</v>
      </c>
      <c r="G3" s="1" t="s">
        <v>10</v>
      </c>
      <c r="H3" t="s">
        <v>29</v>
      </c>
    </row>
    <row r="4" spans="2:8" x14ac:dyDescent="0.25">
      <c r="B4" t="s">
        <v>30</v>
      </c>
      <c r="C4" s="1" t="s">
        <v>5</v>
      </c>
      <c r="D4" s="20">
        <v>2.751181E-39</v>
      </c>
      <c r="E4" s="1" t="str">
        <f>IF($C4 = "Major", IF($D4 &lt; 0.001, "Yes", "No"), IF($D4 &gt;= 0.001, "Yes", "No"))</f>
        <v>Yes</v>
      </c>
      <c r="F4" s="21">
        <v>1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31</v>
      </c>
      <c r="C5" s="1" t="s">
        <v>5</v>
      </c>
      <c r="D5" s="20">
        <v>6.6670000000000001E-8</v>
      </c>
      <c r="E5" s="1" t="str">
        <f>IF($C5 = "Major", IF($D5 &lt; 0.001, "Yes", "No"), IF($D5 &gt;= 0.001, "Yes", "No"))</f>
        <v>Yes</v>
      </c>
      <c r="F5">
        <v>0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32</v>
      </c>
      <c r="C6" s="1" t="s">
        <v>6</v>
      </c>
      <c r="D6" s="20">
        <v>1.3864399999999999E-13</v>
      </c>
      <c r="E6" s="1" t="str">
        <f>IF($C6 = "Major", IF($D6 &lt; 0.001, "Yes", "No"), IF($D6 &gt;= 0.001, "Yes", "No"))</f>
        <v>No</v>
      </c>
      <c r="F6">
        <v>0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zoomScaleNormal="100" workbookViewId="0">
      <selection activeCell="M2" sqref="M2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2"/>
      <c r="B2" s="2"/>
      <c r="C2" s="2" t="s">
        <v>33</v>
      </c>
      <c r="D2" s="2">
        <v>0.05</v>
      </c>
      <c r="G2" s="3"/>
      <c r="H2" s="3"/>
      <c r="I2" s="3" t="s">
        <v>33</v>
      </c>
      <c r="J2" s="3">
        <v>0.05</v>
      </c>
      <c r="M2" s="4"/>
      <c r="N2" s="4"/>
      <c r="O2" s="4" t="s">
        <v>33</v>
      </c>
      <c r="P2" s="4">
        <v>0.05</v>
      </c>
    </row>
    <row r="3" spans="1:16" x14ac:dyDescent="0.25">
      <c r="A3" s="2" t="s">
        <v>22</v>
      </c>
      <c r="B3" s="2">
        <f>'Case 5A p 0.05 NFIM 0.05'!C11</f>
        <v>2</v>
      </c>
      <c r="C3" s="2" t="s">
        <v>25</v>
      </c>
      <c r="D3" s="2">
        <v>0.05</v>
      </c>
      <c r="G3" s="3" t="s">
        <v>22</v>
      </c>
      <c r="H3" s="3">
        <f>'Case 5A p 0.05 NFIM 0.10'!C11</f>
        <v>2</v>
      </c>
      <c r="I3" s="3" t="s">
        <v>25</v>
      </c>
      <c r="J3" s="3">
        <v>0.1</v>
      </c>
      <c r="M3" s="4" t="s">
        <v>22</v>
      </c>
      <c r="N3" s="4">
        <f>'Case 5A p 0.05 NFIM 0.15'!C11</f>
        <v>2</v>
      </c>
      <c r="O3" s="4" t="s">
        <v>25</v>
      </c>
      <c r="P3" s="4">
        <v>0.15</v>
      </c>
    </row>
    <row r="4" spans="1:16" x14ac:dyDescent="0.25">
      <c r="A4" s="2" t="s">
        <v>23</v>
      </c>
      <c r="B4" s="2">
        <f>'Case 5A p 0.05 NFIM 0.05'!C12</f>
        <v>2</v>
      </c>
      <c r="C4" s="2"/>
      <c r="D4" s="2"/>
      <c r="G4" s="3" t="s">
        <v>23</v>
      </c>
      <c r="H4" s="3">
        <f>'Case 5A p 0.05 NFIM 0.10'!C12</f>
        <v>2</v>
      </c>
      <c r="I4" s="3"/>
      <c r="J4" s="3"/>
      <c r="M4" s="4" t="s">
        <v>23</v>
      </c>
      <c r="N4" s="4">
        <f>'Case 5A p 0.05 NFIM 0.15'!C12</f>
        <v>2</v>
      </c>
      <c r="O4" s="4"/>
      <c r="P4" s="4"/>
    </row>
    <row r="5" spans="1:16" x14ac:dyDescent="0.25">
      <c r="A5" s="2" t="s">
        <v>24</v>
      </c>
      <c r="B5" s="2">
        <f>'Case 5A p 0.05 NFIM 0.05'!C13</f>
        <v>1</v>
      </c>
      <c r="C5" s="2"/>
      <c r="D5" s="2"/>
      <c r="G5" s="3" t="s">
        <v>24</v>
      </c>
      <c r="H5" s="3">
        <f>'Case 5A p 0.05 NFIM 0.10'!C13</f>
        <v>1</v>
      </c>
      <c r="I5" s="3"/>
      <c r="J5" s="3"/>
      <c r="M5" s="4" t="s">
        <v>24</v>
      </c>
      <c r="N5" s="4">
        <f>'Case 5A p 0.05 NFIM 0.15'!C13</f>
        <v>1</v>
      </c>
      <c r="O5" s="4"/>
      <c r="P5" s="4"/>
    </row>
    <row r="6" spans="1:16" x14ac:dyDescent="0.25">
      <c r="A6" s="2" t="s">
        <v>8</v>
      </c>
      <c r="B6" s="2">
        <v>3</v>
      </c>
      <c r="C6" s="2"/>
      <c r="D6" s="2"/>
      <c r="G6" s="3" t="s">
        <v>8</v>
      </c>
      <c r="H6" s="3">
        <v>3</v>
      </c>
      <c r="I6" s="3"/>
      <c r="J6" s="3"/>
      <c r="M6" s="4" t="s">
        <v>8</v>
      </c>
      <c r="N6" s="4">
        <v>3</v>
      </c>
      <c r="O6" s="4"/>
      <c r="P6" s="4"/>
    </row>
    <row r="7" spans="1:16" x14ac:dyDescent="0.25">
      <c r="A7" s="2"/>
      <c r="B7" s="2"/>
      <c r="C7" s="2"/>
      <c r="D7" s="2"/>
      <c r="G7" s="3"/>
      <c r="H7" s="3"/>
      <c r="I7" s="3"/>
      <c r="J7" s="3"/>
      <c r="M7" s="4"/>
      <c r="N7" s="4"/>
      <c r="O7" s="4"/>
      <c r="P7" s="4"/>
    </row>
    <row r="8" spans="1:16" x14ac:dyDescent="0.25">
      <c r="A8" s="2" t="s">
        <v>18</v>
      </c>
      <c r="B8" s="2" t="s">
        <v>14</v>
      </c>
      <c r="C8" s="2" t="s">
        <v>21</v>
      </c>
      <c r="D8" s="2" t="s">
        <v>20</v>
      </c>
      <c r="G8" s="3" t="s">
        <v>18</v>
      </c>
      <c r="H8" s="3" t="s">
        <v>14</v>
      </c>
      <c r="I8" s="3" t="s">
        <v>21</v>
      </c>
      <c r="J8" s="3" t="s">
        <v>20</v>
      </c>
      <c r="M8" s="4" t="s">
        <v>18</v>
      </c>
      <c r="N8" s="4" t="s">
        <v>14</v>
      </c>
      <c r="O8" s="4" t="s">
        <v>21</v>
      </c>
      <c r="P8" s="4" t="s">
        <v>20</v>
      </c>
    </row>
    <row r="9" spans="1:16" x14ac:dyDescent="0.25">
      <c r="A9" s="2" t="s">
        <v>16</v>
      </c>
      <c r="B9" s="2">
        <f>B3</f>
        <v>2</v>
      </c>
      <c r="C9" s="2">
        <f>B6</f>
        <v>3</v>
      </c>
      <c r="D9" s="2"/>
      <c r="G9" s="3" t="s">
        <v>16</v>
      </c>
      <c r="H9" s="3">
        <f>H3</f>
        <v>2</v>
      </c>
      <c r="I9" s="3">
        <f>H6</f>
        <v>3</v>
      </c>
      <c r="J9" s="3"/>
      <c r="M9" s="4" t="s">
        <v>16</v>
      </c>
      <c r="N9" s="4">
        <f>N3</f>
        <v>2</v>
      </c>
      <c r="O9" s="4">
        <f>N6</f>
        <v>3</v>
      </c>
      <c r="P9" s="4"/>
    </row>
    <row r="10" spans="1:16" x14ac:dyDescent="0.25">
      <c r="A10" s="2" t="s">
        <v>17</v>
      </c>
      <c r="B10" s="2">
        <f>B4</f>
        <v>2</v>
      </c>
      <c r="C10" s="2">
        <f>B6</f>
        <v>3</v>
      </c>
      <c r="D10" s="2"/>
      <c r="G10" s="3" t="s">
        <v>17</v>
      </c>
      <c r="H10" s="3">
        <f>H4</f>
        <v>2</v>
      </c>
      <c r="I10" s="3">
        <f>H6</f>
        <v>3</v>
      </c>
      <c r="J10" s="3"/>
      <c r="M10" s="4" t="s">
        <v>17</v>
      </c>
      <c r="N10" s="4">
        <f>N4</f>
        <v>2</v>
      </c>
      <c r="O10" s="4">
        <f>N6</f>
        <v>3</v>
      </c>
      <c r="P10" s="4"/>
    </row>
    <row r="11" spans="1:16" x14ac:dyDescent="0.25">
      <c r="A11" s="2" t="s">
        <v>19</v>
      </c>
      <c r="B11" s="5">
        <f>ROUND((0.5*(LOG10(B5/B6)+1)*B6)*10,0)/10</f>
        <v>0.8</v>
      </c>
      <c r="C11" s="2">
        <f>B6*0.5</f>
        <v>1.5</v>
      </c>
      <c r="D11" s="2"/>
      <c r="G11" s="3" t="s">
        <v>19</v>
      </c>
      <c r="H11" s="6">
        <f>ROUND((0.5*(LOG10(H5/H6)+1)*H6)*10,0)/10</f>
        <v>0.8</v>
      </c>
      <c r="I11" s="3">
        <f>H6*0.5</f>
        <v>1.5</v>
      </c>
      <c r="J11" s="3"/>
      <c r="M11" s="4" t="s">
        <v>19</v>
      </c>
      <c r="N11" s="7">
        <f>ROUND((0.5*(LOG10(N5/N6)+1)*N6)*10,0)/10</f>
        <v>0.8</v>
      </c>
      <c r="O11" s="4">
        <f>N6*0.5</f>
        <v>1.5</v>
      </c>
      <c r="P11" s="4"/>
    </row>
    <row r="12" spans="1:16" x14ac:dyDescent="0.25">
      <c r="A12" s="2" t="s">
        <v>0</v>
      </c>
      <c r="B12" s="2">
        <f>ROUND(SUM(B9:B11)*10,0)/10</f>
        <v>4.8</v>
      </c>
      <c r="C12" s="2">
        <f>SUM(C9:C11)</f>
        <v>7.5</v>
      </c>
      <c r="D12" s="2">
        <f>100*B12/C12</f>
        <v>64</v>
      </c>
      <c r="G12" s="3" t="s">
        <v>0</v>
      </c>
      <c r="H12" s="3">
        <f>ROUND(SUM(H9:H11)*10,0)/10</f>
        <v>4.8</v>
      </c>
      <c r="I12" s="3">
        <f>SUM(I9:I11)</f>
        <v>7.5</v>
      </c>
      <c r="J12" s="3">
        <f>100*H12/I12</f>
        <v>64</v>
      </c>
      <c r="M12" s="4" t="s">
        <v>0</v>
      </c>
      <c r="N12" s="4">
        <f>ROUND(SUM(N9:N11)*10,0)/10</f>
        <v>4.8</v>
      </c>
      <c r="O12" s="4">
        <f>SUM(O9:O11)</f>
        <v>7.5</v>
      </c>
      <c r="P12" s="4">
        <f>100*N12/O12</f>
        <v>64</v>
      </c>
    </row>
    <row r="15" spans="1:16" x14ac:dyDescent="0.25">
      <c r="A15" s="8" t="s">
        <v>15</v>
      </c>
      <c r="B15" s="8"/>
      <c r="C15" s="8" t="s">
        <v>33</v>
      </c>
      <c r="D15" s="8">
        <v>0.01</v>
      </c>
      <c r="G15" s="9" t="s">
        <v>15</v>
      </c>
      <c r="H15" s="9"/>
      <c r="I15" s="9" t="s">
        <v>33</v>
      </c>
      <c r="J15" s="9">
        <v>0.01</v>
      </c>
      <c r="M15" s="10" t="s">
        <v>15</v>
      </c>
      <c r="N15" s="10"/>
      <c r="O15" s="10" t="s">
        <v>33</v>
      </c>
      <c r="P15" s="10">
        <v>0.01</v>
      </c>
    </row>
    <row r="16" spans="1:16" x14ac:dyDescent="0.25">
      <c r="A16" s="8" t="s">
        <v>22</v>
      </c>
      <c r="B16" s="8">
        <f>'Case 5A p 0.01 NFIM 0.05'!C11</f>
        <v>2</v>
      </c>
      <c r="C16" s="8" t="s">
        <v>25</v>
      </c>
      <c r="D16" s="8">
        <v>0.05</v>
      </c>
      <c r="G16" s="9" t="s">
        <v>22</v>
      </c>
      <c r="H16" s="9">
        <f>'Case 5A p 0.01 NFIM 0.10'!C11</f>
        <v>2</v>
      </c>
      <c r="I16" s="9" t="s">
        <v>25</v>
      </c>
      <c r="J16" s="9">
        <v>0.1</v>
      </c>
      <c r="M16" s="10" t="s">
        <v>22</v>
      </c>
      <c r="N16" s="10">
        <f>'Case 5A p 0.01 NFIM 0.15'!C11</f>
        <v>2</v>
      </c>
      <c r="O16" s="10" t="s">
        <v>25</v>
      </c>
      <c r="P16" s="10">
        <v>0.15</v>
      </c>
    </row>
    <row r="17" spans="1:16" x14ac:dyDescent="0.25">
      <c r="A17" s="8" t="s">
        <v>23</v>
      </c>
      <c r="B17" s="8">
        <f>'Case 5A p 0.01 NFIM 0.05'!C12</f>
        <v>2</v>
      </c>
      <c r="C17" s="8"/>
      <c r="D17" s="8"/>
      <c r="G17" s="9" t="s">
        <v>23</v>
      </c>
      <c r="H17" s="9">
        <f>'Case 5A p 0.01 NFIM 0.10'!C12</f>
        <v>2</v>
      </c>
      <c r="I17" s="9"/>
      <c r="J17" s="9"/>
      <c r="M17" s="10" t="s">
        <v>23</v>
      </c>
      <c r="N17" s="10">
        <f>'Case 5A p 0.01 NFIM 0.15'!C12</f>
        <v>2</v>
      </c>
      <c r="O17" s="10"/>
      <c r="P17" s="10"/>
    </row>
    <row r="18" spans="1:16" x14ac:dyDescent="0.25">
      <c r="A18" s="8" t="s">
        <v>24</v>
      </c>
      <c r="B18" s="8">
        <f>'Case 5A p 0.01 NFIM 0.05'!C13</f>
        <v>1</v>
      </c>
      <c r="C18" s="8"/>
      <c r="D18" s="8"/>
      <c r="G18" s="9" t="s">
        <v>24</v>
      </c>
      <c r="H18" s="9">
        <f>'Case 5A p 0.01 NFIM 0.10'!C13</f>
        <v>1</v>
      </c>
      <c r="I18" s="9"/>
      <c r="J18" s="9"/>
      <c r="M18" s="10" t="s">
        <v>24</v>
      </c>
      <c r="N18" s="10">
        <f>'Case 5A p 0.01 NFIM 0.15'!C13</f>
        <v>1</v>
      </c>
      <c r="O18" s="10"/>
      <c r="P18" s="10"/>
    </row>
    <row r="19" spans="1:16" x14ac:dyDescent="0.25">
      <c r="A19" s="8" t="s">
        <v>8</v>
      </c>
      <c r="B19" s="8">
        <v>3</v>
      </c>
      <c r="C19" s="8"/>
      <c r="D19" s="8"/>
      <c r="G19" s="9" t="s">
        <v>8</v>
      </c>
      <c r="H19" s="9">
        <v>3</v>
      </c>
      <c r="I19" s="9"/>
      <c r="J19" s="9"/>
      <c r="M19" s="10" t="s">
        <v>8</v>
      </c>
      <c r="N19" s="10">
        <f>'Case 5A p 0.01 NFIM 0.15'!C10</f>
        <v>3</v>
      </c>
      <c r="O19" s="10"/>
      <c r="P19" s="10"/>
    </row>
    <row r="20" spans="1:16" x14ac:dyDescent="0.25">
      <c r="A20" s="8"/>
      <c r="B20" s="8"/>
      <c r="C20" s="8"/>
      <c r="D20" s="8"/>
      <c r="G20" s="9"/>
      <c r="H20" s="9"/>
      <c r="I20" s="9"/>
      <c r="J20" s="9"/>
      <c r="M20" s="10"/>
      <c r="N20" s="10"/>
      <c r="O20" s="10"/>
      <c r="P20" s="10"/>
    </row>
    <row r="21" spans="1:16" x14ac:dyDescent="0.25">
      <c r="A21" s="8" t="s">
        <v>18</v>
      </c>
      <c r="B21" s="8" t="s">
        <v>14</v>
      </c>
      <c r="C21" s="8" t="s">
        <v>21</v>
      </c>
      <c r="D21" s="8" t="s">
        <v>20</v>
      </c>
      <c r="G21" s="9" t="s">
        <v>18</v>
      </c>
      <c r="H21" s="9" t="s">
        <v>14</v>
      </c>
      <c r="I21" s="9" t="s">
        <v>21</v>
      </c>
      <c r="J21" s="9" t="s">
        <v>20</v>
      </c>
      <c r="M21" s="10" t="s">
        <v>18</v>
      </c>
      <c r="N21" s="10" t="s">
        <v>14</v>
      </c>
      <c r="O21" s="10" t="s">
        <v>21</v>
      </c>
      <c r="P21" s="10" t="s">
        <v>20</v>
      </c>
    </row>
    <row r="22" spans="1:16" x14ac:dyDescent="0.25">
      <c r="A22" s="8" t="s">
        <v>16</v>
      </c>
      <c r="B22" s="8">
        <f>B16</f>
        <v>2</v>
      </c>
      <c r="C22" s="8">
        <f>B19</f>
        <v>3</v>
      </c>
      <c r="D22" s="8"/>
      <c r="G22" s="9" t="s">
        <v>16</v>
      </c>
      <c r="H22" s="9">
        <f>H16</f>
        <v>2</v>
      </c>
      <c r="I22" s="9">
        <f>H19</f>
        <v>3</v>
      </c>
      <c r="J22" s="9"/>
      <c r="M22" s="10" t="s">
        <v>16</v>
      </c>
      <c r="N22" s="10">
        <f>N16</f>
        <v>2</v>
      </c>
      <c r="O22" s="10">
        <f>N19</f>
        <v>3</v>
      </c>
      <c r="P22" s="10"/>
    </row>
    <row r="23" spans="1:16" x14ac:dyDescent="0.25">
      <c r="A23" s="8" t="s">
        <v>17</v>
      </c>
      <c r="B23" s="8">
        <f>B17</f>
        <v>2</v>
      </c>
      <c r="C23" s="8">
        <f>B19</f>
        <v>3</v>
      </c>
      <c r="D23" s="8"/>
      <c r="G23" s="9" t="s">
        <v>17</v>
      </c>
      <c r="H23" s="9">
        <f>H17</f>
        <v>2</v>
      </c>
      <c r="I23" s="9">
        <f>H19</f>
        <v>3</v>
      </c>
      <c r="J23" s="9"/>
      <c r="M23" s="10" t="s">
        <v>17</v>
      </c>
      <c r="N23" s="10">
        <f>N17</f>
        <v>2</v>
      </c>
      <c r="O23" s="10">
        <f>N19</f>
        <v>3</v>
      </c>
      <c r="P23" s="10"/>
    </row>
    <row r="24" spans="1:16" x14ac:dyDescent="0.25">
      <c r="A24" s="8" t="s">
        <v>19</v>
      </c>
      <c r="B24" s="11">
        <f>ROUND((0.5*(LOG10(B18/B19)+1)*B19)*10,0)/10</f>
        <v>0.8</v>
      </c>
      <c r="C24" s="8">
        <f>B19*0.5</f>
        <v>1.5</v>
      </c>
      <c r="D24" s="8"/>
      <c r="G24" s="9" t="s">
        <v>19</v>
      </c>
      <c r="H24" s="12">
        <f>ROUND((0.5*(LOG10(H18/H19)+1)*H19)*10,0)/10</f>
        <v>0.8</v>
      </c>
      <c r="I24" s="9">
        <f>H19*0.5</f>
        <v>1.5</v>
      </c>
      <c r="J24" s="9"/>
      <c r="M24" s="10" t="s">
        <v>19</v>
      </c>
      <c r="N24" s="13">
        <f>ROUND((0.5*(LOG10(N18/N19)+1)*N19)*10,0)/10</f>
        <v>0.8</v>
      </c>
      <c r="O24" s="10">
        <f>N19*0.5</f>
        <v>1.5</v>
      </c>
      <c r="P24" s="10"/>
    </row>
    <row r="25" spans="1:16" x14ac:dyDescent="0.25">
      <c r="A25" s="8" t="s">
        <v>0</v>
      </c>
      <c r="B25" s="8">
        <f>ROUND(SUM(B22:B24)*10,0)/10</f>
        <v>4.8</v>
      </c>
      <c r="C25" s="8">
        <f>SUM(C22:C24)</f>
        <v>7.5</v>
      </c>
      <c r="D25" s="8">
        <f>100*B25/C25</f>
        <v>64</v>
      </c>
      <c r="G25" s="9" t="s">
        <v>0</v>
      </c>
      <c r="H25" s="9">
        <f>ROUND(SUM(H22:H24)*10,0)/10</f>
        <v>4.8</v>
      </c>
      <c r="I25" s="9">
        <f>SUM(I22:I24)</f>
        <v>7.5</v>
      </c>
      <c r="J25" s="9">
        <f>100*H25/I25</f>
        <v>64</v>
      </c>
      <c r="M25" s="10" t="s">
        <v>0</v>
      </c>
      <c r="N25" s="10">
        <f>ROUND(SUM(N22:N24)*10,0)/10</f>
        <v>4.8</v>
      </c>
      <c r="O25" s="10">
        <f>SUM(O22:O24)</f>
        <v>7.5</v>
      </c>
      <c r="P25" s="10">
        <f>100*N25/O25</f>
        <v>64</v>
      </c>
    </row>
    <row r="28" spans="1:16" x14ac:dyDescent="0.25">
      <c r="A28" s="14" t="s">
        <v>15</v>
      </c>
      <c r="B28" s="14"/>
      <c r="C28" s="14" t="s">
        <v>33</v>
      </c>
      <c r="D28" s="14">
        <v>1E-3</v>
      </c>
      <c r="G28" s="15" t="s">
        <v>15</v>
      </c>
      <c r="H28" s="15"/>
      <c r="I28" s="15" t="s">
        <v>33</v>
      </c>
      <c r="J28" s="15">
        <v>1E-3</v>
      </c>
      <c r="M28" s="16" t="s">
        <v>15</v>
      </c>
      <c r="N28" s="16"/>
      <c r="O28" s="16" t="s">
        <v>33</v>
      </c>
      <c r="P28" s="16">
        <v>1E-3</v>
      </c>
    </row>
    <row r="29" spans="1:16" x14ac:dyDescent="0.25">
      <c r="A29" s="14" t="s">
        <v>22</v>
      </c>
      <c r="B29" s="14">
        <f>'Case 5A p 0.001 NFIM 0.05'!C11</f>
        <v>2</v>
      </c>
      <c r="C29" s="14" t="s">
        <v>25</v>
      </c>
      <c r="D29" s="14">
        <v>0.05</v>
      </c>
      <c r="G29" s="15" t="s">
        <v>22</v>
      </c>
      <c r="H29" s="15">
        <f>'Case 5A p 0.001 NFIM 0.10'!C11</f>
        <v>2</v>
      </c>
      <c r="I29" s="15" t="s">
        <v>25</v>
      </c>
      <c r="J29" s="15">
        <v>0.1</v>
      </c>
      <c r="M29" s="16" t="s">
        <v>22</v>
      </c>
      <c r="N29" s="16">
        <f>'Case 5A p 0.01 NFIM 0.15'!C11</f>
        <v>2</v>
      </c>
      <c r="O29" s="16" t="s">
        <v>25</v>
      </c>
      <c r="P29" s="16">
        <v>0.15</v>
      </c>
    </row>
    <row r="30" spans="1:16" x14ac:dyDescent="0.25">
      <c r="A30" s="14" t="s">
        <v>23</v>
      </c>
      <c r="B30" s="14">
        <f>'Case 5A p 0.001 NFIM 0.05'!C12</f>
        <v>2</v>
      </c>
      <c r="C30" s="14"/>
      <c r="D30" s="14"/>
      <c r="G30" s="15" t="s">
        <v>23</v>
      </c>
      <c r="H30" s="15">
        <f>'Case 5A p 0.001 NFIM 0.10'!C12</f>
        <v>2</v>
      </c>
      <c r="I30" s="15"/>
      <c r="J30" s="15"/>
      <c r="M30" s="16" t="s">
        <v>23</v>
      </c>
      <c r="N30" s="16">
        <f>'Case 5A p 0.01 NFIM 0.15'!C12</f>
        <v>2</v>
      </c>
      <c r="O30" s="16"/>
      <c r="P30" s="16"/>
    </row>
    <row r="31" spans="1:16" x14ac:dyDescent="0.25">
      <c r="A31" s="14" t="s">
        <v>24</v>
      </c>
      <c r="B31" s="14">
        <f>'Case 5A p 0.001 NFIM 0.05'!C13</f>
        <v>1</v>
      </c>
      <c r="C31" s="14"/>
      <c r="D31" s="14"/>
      <c r="G31" s="15" t="s">
        <v>24</v>
      </c>
      <c r="H31" s="15">
        <f>'Case 5A p 0.001 NFIM 0.10'!C13</f>
        <v>1</v>
      </c>
      <c r="I31" s="15"/>
      <c r="J31" s="15"/>
      <c r="M31" s="16" t="s">
        <v>24</v>
      </c>
      <c r="N31" s="16">
        <f>'Case 5A p 0.01 NFIM 0.15'!C13</f>
        <v>1</v>
      </c>
      <c r="O31" s="16"/>
      <c r="P31" s="16"/>
    </row>
    <row r="32" spans="1:16" x14ac:dyDescent="0.25">
      <c r="A32" s="14" t="s">
        <v>8</v>
      </c>
      <c r="B32" s="14">
        <v>3</v>
      </c>
      <c r="C32" s="14"/>
      <c r="D32" s="14"/>
      <c r="G32" s="15" t="s">
        <v>8</v>
      </c>
      <c r="H32" s="15">
        <v>3</v>
      </c>
      <c r="I32" s="15"/>
      <c r="J32" s="15"/>
      <c r="M32" s="16" t="s">
        <v>8</v>
      </c>
      <c r="N32" s="16">
        <v>3</v>
      </c>
      <c r="O32" s="16"/>
      <c r="P32" s="16"/>
    </row>
    <row r="33" spans="1:16" x14ac:dyDescent="0.25">
      <c r="A33" s="14"/>
      <c r="B33" s="14"/>
      <c r="C33" s="14"/>
      <c r="D33" s="14"/>
      <c r="G33" s="15"/>
      <c r="H33" s="15"/>
      <c r="I33" s="15"/>
      <c r="J33" s="15"/>
      <c r="M33" s="16"/>
      <c r="N33" s="16"/>
      <c r="O33" s="16"/>
      <c r="P33" s="16"/>
    </row>
    <row r="34" spans="1:16" x14ac:dyDescent="0.25">
      <c r="A34" s="14" t="s">
        <v>18</v>
      </c>
      <c r="B34" s="14" t="s">
        <v>14</v>
      </c>
      <c r="C34" s="14" t="s">
        <v>21</v>
      </c>
      <c r="D34" s="14" t="s">
        <v>20</v>
      </c>
      <c r="G34" s="15" t="s">
        <v>18</v>
      </c>
      <c r="H34" s="15" t="s">
        <v>14</v>
      </c>
      <c r="I34" s="15" t="s">
        <v>21</v>
      </c>
      <c r="J34" s="15" t="s">
        <v>20</v>
      </c>
      <c r="M34" s="16" t="s">
        <v>18</v>
      </c>
      <c r="N34" s="16" t="s">
        <v>14</v>
      </c>
      <c r="O34" s="16" t="s">
        <v>21</v>
      </c>
      <c r="P34" s="16" t="s">
        <v>20</v>
      </c>
    </row>
    <row r="35" spans="1:16" x14ac:dyDescent="0.25">
      <c r="A35" s="14" t="s">
        <v>16</v>
      </c>
      <c r="B35" s="14">
        <f>B29</f>
        <v>2</v>
      </c>
      <c r="C35" s="14">
        <f>B32</f>
        <v>3</v>
      </c>
      <c r="D35" s="14"/>
      <c r="G35" s="15" t="s">
        <v>16</v>
      </c>
      <c r="H35" s="15">
        <f>H29</f>
        <v>2</v>
      </c>
      <c r="I35" s="15">
        <f>H32</f>
        <v>3</v>
      </c>
      <c r="J35" s="15"/>
      <c r="M35" s="16" t="s">
        <v>16</v>
      </c>
      <c r="N35" s="16">
        <f>N29</f>
        <v>2</v>
      </c>
      <c r="O35" s="16">
        <f>N32</f>
        <v>3</v>
      </c>
      <c r="P35" s="16"/>
    </row>
    <row r="36" spans="1:16" x14ac:dyDescent="0.25">
      <c r="A36" s="14" t="s">
        <v>17</v>
      </c>
      <c r="B36" s="14">
        <f>B30</f>
        <v>2</v>
      </c>
      <c r="C36" s="14">
        <f>B32</f>
        <v>3</v>
      </c>
      <c r="D36" s="14"/>
      <c r="G36" s="15" t="s">
        <v>17</v>
      </c>
      <c r="H36" s="15">
        <f>H30</f>
        <v>2</v>
      </c>
      <c r="I36" s="15">
        <f>H32</f>
        <v>3</v>
      </c>
      <c r="J36" s="15"/>
      <c r="M36" s="16" t="s">
        <v>17</v>
      </c>
      <c r="N36" s="16">
        <f>N30</f>
        <v>2</v>
      </c>
      <c r="O36" s="16">
        <f>N32</f>
        <v>3</v>
      </c>
      <c r="P36" s="16"/>
    </row>
    <row r="37" spans="1:16" x14ac:dyDescent="0.25">
      <c r="A37" s="14" t="s">
        <v>19</v>
      </c>
      <c r="B37" s="17">
        <f>ROUND((0.5*(LOG10(B31/B32)+1)*B32)*10,0)/10</f>
        <v>0.8</v>
      </c>
      <c r="C37" s="14">
        <f>B32*0.5</f>
        <v>1.5</v>
      </c>
      <c r="D37" s="14"/>
      <c r="G37" s="15" t="s">
        <v>19</v>
      </c>
      <c r="H37" s="18">
        <f>ROUND((0.5*(LOG10(H31/H32)+1)*H32)*10,0)/10</f>
        <v>0.8</v>
      </c>
      <c r="I37" s="15">
        <f>H32*0.5</f>
        <v>1.5</v>
      </c>
      <c r="J37" s="15"/>
      <c r="M37" s="16" t="s">
        <v>19</v>
      </c>
      <c r="N37" s="19">
        <f>ROUND((0.5*(LOG10(N31/N32)+1)*N32)*10,0)/10</f>
        <v>0.8</v>
      </c>
      <c r="O37" s="16">
        <f>N32*0.5</f>
        <v>1.5</v>
      </c>
      <c r="P37" s="16"/>
    </row>
    <row r="38" spans="1:16" x14ac:dyDescent="0.25">
      <c r="A38" s="14" t="s">
        <v>0</v>
      </c>
      <c r="B38" s="14">
        <f>ROUND(SUM(B35:B37)*10,0)/10</f>
        <v>4.8</v>
      </c>
      <c r="C38" s="14">
        <f>SUM(C35:C37)</f>
        <v>7.5</v>
      </c>
      <c r="D38" s="14">
        <f>100*B38/C38</f>
        <v>64</v>
      </c>
      <c r="G38" s="15" t="s">
        <v>0</v>
      </c>
      <c r="H38" s="15">
        <f>ROUND(SUM(H35:H37)*10,0)/10</f>
        <v>4.8</v>
      </c>
      <c r="I38" s="15">
        <f>SUM(I35:I37)</f>
        <v>7.5</v>
      </c>
      <c r="J38" s="15">
        <f>100*H38/I38</f>
        <v>64</v>
      </c>
      <c r="M38" s="16" t="s">
        <v>0</v>
      </c>
      <c r="N38" s="16">
        <f>ROUND(SUM(N35:N37)*10,0)/10</f>
        <v>4.8</v>
      </c>
      <c r="O38" s="16">
        <f>SUM(O35:O37)</f>
        <v>7.5</v>
      </c>
      <c r="P38" s="16">
        <f>100*N38/O38</f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5A p 0.05 NFIM 0.05</vt:lpstr>
      <vt:lpstr>Case 5A p 0.05 NFIM 0.10</vt:lpstr>
      <vt:lpstr>Case 5A p 0.05 NFIM 0.15</vt:lpstr>
      <vt:lpstr>Case 5A p 0.01 NFIM 0.05</vt:lpstr>
      <vt:lpstr>Case 5A p 0.01 NFIM 0.10</vt:lpstr>
      <vt:lpstr>Case 5A p 0.01 NFIM 0.15</vt:lpstr>
      <vt:lpstr>Case 5A p 0.001 NFIM 0.05</vt:lpstr>
      <vt:lpstr>Case 5A p 0.001 NFIM 0.10</vt:lpstr>
      <vt:lpstr>Case 5A p 0.001 NFIM 0.15</vt:lpstr>
      <vt:lpstr>Case 5A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