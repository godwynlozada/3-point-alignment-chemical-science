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Godwyn Submission Semester\GitHub Repository\"/>
    </mc:Choice>
  </mc:AlternateContent>
  <xr:revisionPtr revIDLastSave="0" documentId="13_ncr:1_{6C80AE3E-2F39-45B0-A413-08A8674B13D1}" xr6:coauthVersionLast="47" xr6:coauthVersionMax="47" xr10:uidLastSave="{00000000-0000-0000-0000-000000000000}"/>
  <bookViews>
    <workbookView xWindow="-23148" yWindow="-108" windowWidth="23256" windowHeight="12456" firstSheet="6" activeTab="9" xr2:uid="{8DD322BC-5D02-4870-BCD5-40063F203D6D}"/>
  </bookViews>
  <sheets>
    <sheet name="Case 6 p 0.05 NFIM 0.05" sheetId="79" r:id="rId1"/>
    <sheet name="Case 6 p 0.05 NFIM 0.10" sheetId="78" r:id="rId2"/>
    <sheet name="Case 6 p 0.05 NFIM 0.15" sheetId="83" r:id="rId3"/>
    <sheet name="Case 6 p 0.01 NFIM 0.05" sheetId="84" r:id="rId4"/>
    <sheet name="Case 6 p 0.01 NFIM 0.10" sheetId="82" r:id="rId5"/>
    <sheet name="Case 6 p 0.01 NFIM 0.15" sheetId="80" r:id="rId6"/>
    <sheet name="Case 6 p 0.001 NFIM 0.05" sheetId="81" r:id="rId7"/>
    <sheet name="Case 6 p 0.001 NFIM 0.10" sheetId="85" r:id="rId8"/>
    <sheet name="Case 6 p 0.001 NFIM 0.15" sheetId="86" r:id="rId9"/>
    <sheet name="Case 6 summary" sheetId="42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1" i="42" l="1"/>
  <c r="N30" i="42"/>
  <c r="N29" i="42"/>
  <c r="N18" i="42"/>
  <c r="N17" i="42"/>
  <c r="N16" i="42"/>
  <c r="N5" i="42"/>
  <c r="N4" i="42"/>
  <c r="N3" i="42"/>
  <c r="H31" i="42"/>
  <c r="H30" i="42"/>
  <c r="H29" i="42"/>
  <c r="H16" i="42"/>
  <c r="H18" i="42"/>
  <c r="H17" i="42"/>
  <c r="H5" i="42"/>
  <c r="H4" i="42"/>
  <c r="H3" i="42"/>
  <c r="B31" i="42"/>
  <c r="B30" i="42"/>
  <c r="B29" i="42"/>
  <c r="B18" i="42"/>
  <c r="B17" i="42"/>
  <c r="B16" i="42"/>
  <c r="B5" i="42"/>
  <c r="B4" i="42"/>
  <c r="B3" i="42"/>
  <c r="E22" i="86"/>
  <c r="E21" i="86"/>
  <c r="E20" i="86"/>
  <c r="E19" i="86"/>
  <c r="E18" i="86"/>
  <c r="E17" i="86"/>
  <c r="E16" i="86"/>
  <c r="E15" i="86"/>
  <c r="E14" i="86"/>
  <c r="E13" i="86"/>
  <c r="E12" i="86"/>
  <c r="E11" i="86"/>
  <c r="E10" i="86"/>
  <c r="E9" i="86"/>
  <c r="E8" i="86"/>
  <c r="E7" i="86"/>
  <c r="E6" i="86"/>
  <c r="E5" i="86"/>
  <c r="E4" i="86"/>
  <c r="C27" i="86"/>
  <c r="C26" i="86"/>
  <c r="C25" i="86"/>
  <c r="H22" i="86"/>
  <c r="G22" i="86"/>
  <c r="H21" i="86"/>
  <c r="G21" i="86"/>
  <c r="H20" i="86"/>
  <c r="G20" i="86"/>
  <c r="H19" i="86"/>
  <c r="G19" i="86"/>
  <c r="H18" i="86"/>
  <c r="G18" i="86"/>
  <c r="H17" i="86"/>
  <c r="G17" i="86"/>
  <c r="H16" i="86"/>
  <c r="G16" i="86"/>
  <c r="H15" i="86"/>
  <c r="G15" i="86"/>
  <c r="H14" i="86"/>
  <c r="G14" i="86"/>
  <c r="H13" i="86"/>
  <c r="G13" i="86"/>
  <c r="H12" i="86"/>
  <c r="G12" i="86"/>
  <c r="H11" i="86"/>
  <c r="G11" i="86"/>
  <c r="H10" i="86"/>
  <c r="G10" i="86"/>
  <c r="H9" i="86"/>
  <c r="G9" i="86"/>
  <c r="H8" i="86"/>
  <c r="G8" i="86"/>
  <c r="H7" i="86"/>
  <c r="G7" i="86"/>
  <c r="H6" i="86"/>
  <c r="G6" i="86"/>
  <c r="H5" i="86"/>
  <c r="G5" i="86"/>
  <c r="H4" i="86"/>
  <c r="C30" i="86" s="1"/>
  <c r="G4" i="86"/>
  <c r="C29" i="86" s="1"/>
  <c r="C28" i="86"/>
  <c r="E22" i="85"/>
  <c r="E21" i="85"/>
  <c r="E20" i="85"/>
  <c r="E19" i="85"/>
  <c r="E18" i="85"/>
  <c r="E17" i="85"/>
  <c r="E16" i="85"/>
  <c r="E15" i="85"/>
  <c r="E14" i="85"/>
  <c r="E13" i="85"/>
  <c r="E12" i="85"/>
  <c r="E11" i="85"/>
  <c r="E10" i="85"/>
  <c r="E9" i="85"/>
  <c r="E8" i="85"/>
  <c r="E7" i="85"/>
  <c r="E6" i="85"/>
  <c r="E5" i="85"/>
  <c r="E4" i="85"/>
  <c r="C28" i="85" s="1"/>
  <c r="C29" i="85"/>
  <c r="C26" i="85"/>
  <c r="C25" i="85"/>
  <c r="C27" i="85" s="1"/>
  <c r="H22" i="85"/>
  <c r="G22" i="85"/>
  <c r="H21" i="85"/>
  <c r="G21" i="85"/>
  <c r="H20" i="85"/>
  <c r="G20" i="85"/>
  <c r="H19" i="85"/>
  <c r="G19" i="85"/>
  <c r="H18" i="85"/>
  <c r="G18" i="85"/>
  <c r="H17" i="85"/>
  <c r="G17" i="85"/>
  <c r="H16" i="85"/>
  <c r="G16" i="85"/>
  <c r="H15" i="85"/>
  <c r="G15" i="85"/>
  <c r="H14" i="85"/>
  <c r="G14" i="85"/>
  <c r="H13" i="85"/>
  <c r="G13" i="85"/>
  <c r="H12" i="85"/>
  <c r="G12" i="85"/>
  <c r="H11" i="85"/>
  <c r="G11" i="85"/>
  <c r="H10" i="85"/>
  <c r="G10" i="85"/>
  <c r="H9" i="85"/>
  <c r="G9" i="85"/>
  <c r="H8" i="85"/>
  <c r="G8" i="85"/>
  <c r="H7" i="85"/>
  <c r="G7" i="85"/>
  <c r="H6" i="85"/>
  <c r="G6" i="85"/>
  <c r="H5" i="85"/>
  <c r="G5" i="85"/>
  <c r="H4" i="85"/>
  <c r="C30" i="85" s="1"/>
  <c r="G4" i="85"/>
  <c r="E22" i="84"/>
  <c r="E21" i="84"/>
  <c r="E20" i="84"/>
  <c r="E19" i="84"/>
  <c r="E18" i="84"/>
  <c r="E17" i="84"/>
  <c r="E16" i="84"/>
  <c r="E15" i="84"/>
  <c r="E14" i="84"/>
  <c r="E13" i="84"/>
  <c r="E12" i="84"/>
  <c r="E11" i="84"/>
  <c r="E10" i="84"/>
  <c r="E9" i="84"/>
  <c r="E8" i="84"/>
  <c r="E7" i="84"/>
  <c r="E6" i="84"/>
  <c r="E5" i="84"/>
  <c r="E4" i="84"/>
  <c r="C26" i="84"/>
  <c r="C25" i="84"/>
  <c r="C27" i="84" s="1"/>
  <c r="H22" i="84"/>
  <c r="G22" i="84"/>
  <c r="H21" i="84"/>
  <c r="G21" i="84"/>
  <c r="H20" i="84"/>
  <c r="G20" i="84"/>
  <c r="H19" i="84"/>
  <c r="G19" i="84"/>
  <c r="H18" i="84"/>
  <c r="G18" i="84"/>
  <c r="H17" i="84"/>
  <c r="G17" i="84"/>
  <c r="H16" i="84"/>
  <c r="G16" i="84"/>
  <c r="H15" i="84"/>
  <c r="G15" i="84"/>
  <c r="H14" i="84"/>
  <c r="G14" i="84"/>
  <c r="H13" i="84"/>
  <c r="G13" i="84"/>
  <c r="H12" i="84"/>
  <c r="G12" i="84"/>
  <c r="H11" i="84"/>
  <c r="G11" i="84"/>
  <c r="H10" i="84"/>
  <c r="G10" i="84"/>
  <c r="H9" i="84"/>
  <c r="G9" i="84"/>
  <c r="H8" i="84"/>
  <c r="G8" i="84"/>
  <c r="H7" i="84"/>
  <c r="G7" i="84"/>
  <c r="H6" i="84"/>
  <c r="G6" i="84"/>
  <c r="H5" i="84"/>
  <c r="G5" i="84"/>
  <c r="H4" i="84"/>
  <c r="C30" i="84" s="1"/>
  <c r="G4" i="84"/>
  <c r="C29" i="84" s="1"/>
  <c r="C28" i="84"/>
  <c r="E22" i="83"/>
  <c r="E21" i="83"/>
  <c r="E20" i="83"/>
  <c r="E19" i="83"/>
  <c r="E18" i="83"/>
  <c r="E17" i="83"/>
  <c r="E16" i="83"/>
  <c r="E15" i="83"/>
  <c r="E14" i="83"/>
  <c r="E13" i="83"/>
  <c r="E12" i="83"/>
  <c r="E11" i="83"/>
  <c r="E10" i="83"/>
  <c r="E9" i="83"/>
  <c r="E8" i="83"/>
  <c r="E7" i="83"/>
  <c r="E6" i="83"/>
  <c r="E5" i="83"/>
  <c r="E4" i="83"/>
  <c r="C29" i="83"/>
  <c r="C27" i="83"/>
  <c r="C26" i="83"/>
  <c r="C25" i="83"/>
  <c r="H22" i="83"/>
  <c r="G22" i="83"/>
  <c r="H21" i="83"/>
  <c r="G21" i="83"/>
  <c r="H20" i="83"/>
  <c r="G20" i="83"/>
  <c r="H19" i="83"/>
  <c r="G19" i="83"/>
  <c r="H18" i="83"/>
  <c r="G18" i="83"/>
  <c r="H17" i="83"/>
  <c r="G17" i="83"/>
  <c r="H16" i="83"/>
  <c r="G16" i="83"/>
  <c r="H15" i="83"/>
  <c r="G15" i="83"/>
  <c r="H14" i="83"/>
  <c r="G14" i="83"/>
  <c r="H13" i="83"/>
  <c r="G13" i="83"/>
  <c r="H12" i="83"/>
  <c r="G12" i="83"/>
  <c r="H11" i="83"/>
  <c r="G11" i="83"/>
  <c r="H10" i="83"/>
  <c r="G10" i="83"/>
  <c r="H9" i="83"/>
  <c r="G9" i="83"/>
  <c r="H8" i="83"/>
  <c r="G8" i="83"/>
  <c r="H7" i="83"/>
  <c r="C30" i="83" s="1"/>
  <c r="G7" i="83"/>
  <c r="H6" i="83"/>
  <c r="G6" i="83"/>
  <c r="H5" i="83"/>
  <c r="G5" i="83"/>
  <c r="H4" i="83"/>
  <c r="G4" i="83"/>
  <c r="C28" i="83"/>
  <c r="E22" i="81"/>
  <c r="E21" i="81"/>
  <c r="E20" i="81"/>
  <c r="E19" i="81"/>
  <c r="E18" i="81"/>
  <c r="E17" i="81"/>
  <c r="E16" i="81"/>
  <c r="E15" i="81"/>
  <c r="E14" i="81"/>
  <c r="E13" i="81"/>
  <c r="E12" i="81"/>
  <c r="E11" i="81"/>
  <c r="E10" i="81"/>
  <c r="E9" i="81"/>
  <c r="E8" i="81"/>
  <c r="E7" i="81"/>
  <c r="E6" i="81"/>
  <c r="E5" i="81"/>
  <c r="E4" i="81"/>
  <c r="E22" i="80"/>
  <c r="E21" i="80"/>
  <c r="E20" i="80"/>
  <c r="E19" i="80"/>
  <c r="E18" i="80"/>
  <c r="E17" i="80"/>
  <c r="E16" i="80"/>
  <c r="E15" i="80"/>
  <c r="E14" i="80"/>
  <c r="E13" i="80"/>
  <c r="E12" i="80"/>
  <c r="E11" i="80"/>
  <c r="E10" i="80"/>
  <c r="E9" i="80"/>
  <c r="E8" i="80"/>
  <c r="E7" i="80"/>
  <c r="E6" i="80"/>
  <c r="C28" i="80" s="1"/>
  <c r="E5" i="80"/>
  <c r="E4" i="80"/>
  <c r="E22" i="82"/>
  <c r="E21" i="82"/>
  <c r="E20" i="82"/>
  <c r="E19" i="82"/>
  <c r="E18" i="82"/>
  <c r="E17" i="82"/>
  <c r="E16" i="82"/>
  <c r="E15" i="82"/>
  <c r="E14" i="82"/>
  <c r="E13" i="82"/>
  <c r="E12" i="82"/>
  <c r="E11" i="82"/>
  <c r="E10" i="82"/>
  <c r="E9" i="82"/>
  <c r="E8" i="82"/>
  <c r="E7" i="82"/>
  <c r="E6" i="82"/>
  <c r="E5" i="82"/>
  <c r="E4" i="82"/>
  <c r="C26" i="82"/>
  <c r="C25" i="82"/>
  <c r="C27" i="82" s="1"/>
  <c r="H22" i="82"/>
  <c r="G22" i="82"/>
  <c r="H21" i="82"/>
  <c r="G21" i="82"/>
  <c r="H20" i="82"/>
  <c r="G20" i="82"/>
  <c r="H19" i="82"/>
  <c r="G19" i="82"/>
  <c r="H18" i="82"/>
  <c r="G18" i="82"/>
  <c r="H17" i="82"/>
  <c r="G17" i="82"/>
  <c r="H16" i="82"/>
  <c r="G16" i="82"/>
  <c r="H15" i="82"/>
  <c r="G15" i="82"/>
  <c r="H14" i="82"/>
  <c r="G14" i="82"/>
  <c r="H13" i="82"/>
  <c r="G13" i="82"/>
  <c r="H12" i="82"/>
  <c r="G12" i="82"/>
  <c r="H11" i="82"/>
  <c r="G11" i="82"/>
  <c r="H10" i="82"/>
  <c r="G10" i="82"/>
  <c r="H9" i="82"/>
  <c r="G9" i="82"/>
  <c r="H8" i="82"/>
  <c r="G8" i="82"/>
  <c r="H7" i="82"/>
  <c r="G7" i="82"/>
  <c r="H6" i="82"/>
  <c r="G6" i="82"/>
  <c r="H5" i="82"/>
  <c r="G5" i="82"/>
  <c r="H4" i="82"/>
  <c r="C30" i="82" s="1"/>
  <c r="G4" i="82"/>
  <c r="C29" i="82" s="1"/>
  <c r="C28" i="82"/>
  <c r="C26" i="81"/>
  <c r="C25" i="81"/>
  <c r="C27" i="81" s="1"/>
  <c r="H22" i="81"/>
  <c r="G22" i="81"/>
  <c r="H21" i="81"/>
  <c r="G21" i="81"/>
  <c r="H20" i="81"/>
  <c r="G20" i="81"/>
  <c r="H19" i="81"/>
  <c r="G19" i="81"/>
  <c r="H18" i="81"/>
  <c r="G18" i="81"/>
  <c r="H17" i="81"/>
  <c r="G17" i="81"/>
  <c r="H16" i="81"/>
  <c r="G16" i="81"/>
  <c r="H15" i="81"/>
  <c r="G15" i="81"/>
  <c r="H14" i="81"/>
  <c r="G14" i="81"/>
  <c r="H13" i="81"/>
  <c r="G13" i="81"/>
  <c r="H12" i="81"/>
  <c r="G12" i="81"/>
  <c r="H11" i="81"/>
  <c r="G11" i="81"/>
  <c r="H10" i="81"/>
  <c r="G10" i="81"/>
  <c r="H9" i="81"/>
  <c r="G9" i="81"/>
  <c r="H8" i="81"/>
  <c r="G8" i="81"/>
  <c r="H7" i="81"/>
  <c r="G7" i="81"/>
  <c r="H6" i="81"/>
  <c r="G6" i="81"/>
  <c r="H5" i="81"/>
  <c r="G5" i="81"/>
  <c r="H4" i="81"/>
  <c r="C30" i="81" s="1"/>
  <c r="G4" i="81"/>
  <c r="C29" i="81" s="1"/>
  <c r="C29" i="79"/>
  <c r="G22" i="80"/>
  <c r="G21" i="80"/>
  <c r="G20" i="80"/>
  <c r="G19" i="80"/>
  <c r="G18" i="80"/>
  <c r="G17" i="80"/>
  <c r="G16" i="80"/>
  <c r="G15" i="80"/>
  <c r="G14" i="80"/>
  <c r="G13" i="80"/>
  <c r="G12" i="80"/>
  <c r="G11" i="80"/>
  <c r="G10" i="80"/>
  <c r="G9" i="80"/>
  <c r="G8" i="80"/>
  <c r="G7" i="80"/>
  <c r="G6" i="80"/>
  <c r="C29" i="80" s="1"/>
  <c r="G5" i="80"/>
  <c r="G4" i="80"/>
  <c r="C27" i="80"/>
  <c r="C26" i="80"/>
  <c r="C25" i="80"/>
  <c r="H22" i="80"/>
  <c r="H21" i="80"/>
  <c r="H20" i="80"/>
  <c r="H19" i="80"/>
  <c r="H18" i="80"/>
  <c r="H17" i="80"/>
  <c r="H16" i="80"/>
  <c r="H15" i="80"/>
  <c r="H14" i="80"/>
  <c r="H13" i="80"/>
  <c r="H12" i="80"/>
  <c r="H11" i="80"/>
  <c r="H10" i="80"/>
  <c r="H9" i="80"/>
  <c r="H8" i="80"/>
  <c r="H7" i="80"/>
  <c r="H6" i="80"/>
  <c r="H5" i="80"/>
  <c r="H4" i="80"/>
  <c r="C30" i="80" s="1"/>
  <c r="G22" i="79"/>
  <c r="G21" i="79"/>
  <c r="G20" i="79"/>
  <c r="G19" i="79"/>
  <c r="G18" i="79"/>
  <c r="G17" i="79"/>
  <c r="G16" i="79"/>
  <c r="G15" i="79"/>
  <c r="G14" i="79"/>
  <c r="G13" i="79"/>
  <c r="G12" i="79"/>
  <c r="G11" i="79"/>
  <c r="G10" i="79"/>
  <c r="G9" i="79"/>
  <c r="G8" i="79"/>
  <c r="G7" i="79"/>
  <c r="G6" i="79"/>
  <c r="G5" i="79"/>
  <c r="G4" i="79"/>
  <c r="C28" i="79"/>
  <c r="C26" i="79"/>
  <c r="C27" i="79" s="1"/>
  <c r="C25" i="79"/>
  <c r="H22" i="79"/>
  <c r="E22" i="79"/>
  <c r="H21" i="79"/>
  <c r="E21" i="79"/>
  <c r="H20" i="79"/>
  <c r="E20" i="79"/>
  <c r="H19" i="79"/>
  <c r="E19" i="79"/>
  <c r="H18" i="79"/>
  <c r="E18" i="79"/>
  <c r="H17" i="79"/>
  <c r="E17" i="79"/>
  <c r="H16" i="79"/>
  <c r="E16" i="79"/>
  <c r="H15" i="79"/>
  <c r="E15" i="79"/>
  <c r="H14" i="79"/>
  <c r="E14" i="79"/>
  <c r="H13" i="79"/>
  <c r="E13" i="79"/>
  <c r="H12" i="79"/>
  <c r="E12" i="79"/>
  <c r="H11" i="79"/>
  <c r="E11" i="79"/>
  <c r="H10" i="79"/>
  <c r="E10" i="79"/>
  <c r="H9" i="79"/>
  <c r="E9" i="79"/>
  <c r="H8" i="79"/>
  <c r="E8" i="79"/>
  <c r="H7" i="79"/>
  <c r="E7" i="79"/>
  <c r="H6" i="79"/>
  <c r="C30" i="79" s="1"/>
  <c r="E6" i="79"/>
  <c r="H5" i="79"/>
  <c r="E5" i="79"/>
  <c r="H4" i="79"/>
  <c r="E4" i="79"/>
  <c r="C26" i="78"/>
  <c r="C25" i="78"/>
  <c r="C27" i="78" s="1"/>
  <c r="H22" i="78"/>
  <c r="G22" i="78"/>
  <c r="E22" i="78"/>
  <c r="H21" i="78"/>
  <c r="G21" i="78"/>
  <c r="E21" i="78"/>
  <c r="H20" i="78"/>
  <c r="G20" i="78"/>
  <c r="E20" i="78"/>
  <c r="H19" i="78"/>
  <c r="G19" i="78"/>
  <c r="E19" i="78"/>
  <c r="H18" i="78"/>
  <c r="G18" i="78"/>
  <c r="E18" i="78"/>
  <c r="H17" i="78"/>
  <c r="G17" i="78"/>
  <c r="E17" i="78"/>
  <c r="H16" i="78"/>
  <c r="G16" i="78"/>
  <c r="E16" i="78"/>
  <c r="H15" i="78"/>
  <c r="G15" i="78"/>
  <c r="E15" i="78"/>
  <c r="H14" i="78"/>
  <c r="G14" i="78"/>
  <c r="E14" i="78"/>
  <c r="H13" i="78"/>
  <c r="G13" i="78"/>
  <c r="E13" i="78"/>
  <c r="H12" i="78"/>
  <c r="G12" i="78"/>
  <c r="E12" i="78"/>
  <c r="H11" i="78"/>
  <c r="G11" i="78"/>
  <c r="E11" i="78"/>
  <c r="H10" i="78"/>
  <c r="G10" i="78"/>
  <c r="E10" i="78"/>
  <c r="H9" i="78"/>
  <c r="G9" i="78"/>
  <c r="E9" i="78"/>
  <c r="H8" i="78"/>
  <c r="G8" i="78"/>
  <c r="E8" i="78"/>
  <c r="H7" i="78"/>
  <c r="G7" i="78"/>
  <c r="E7" i="78"/>
  <c r="H6" i="78"/>
  <c r="G6" i="78"/>
  <c r="E6" i="78"/>
  <c r="H5" i="78"/>
  <c r="G5" i="78"/>
  <c r="E5" i="78"/>
  <c r="H4" i="78"/>
  <c r="C30" i="78" s="1"/>
  <c r="G4" i="78"/>
  <c r="C29" i="78" s="1"/>
  <c r="E4" i="78"/>
  <c r="C28" i="78" s="1"/>
  <c r="C28" i="81" l="1"/>
  <c r="N37" i="42"/>
  <c r="N35" i="42"/>
  <c r="N24" i="42"/>
  <c r="N9" i="42"/>
  <c r="H37" i="42"/>
  <c r="H36" i="42"/>
  <c r="H35" i="42"/>
  <c r="H24" i="42"/>
  <c r="H22" i="42"/>
  <c r="B36" i="42"/>
  <c r="B35" i="42"/>
  <c r="N11" i="42"/>
  <c r="H11" i="42"/>
  <c r="H10" i="42"/>
  <c r="H9" i="42"/>
  <c r="O37" i="42"/>
  <c r="I37" i="42"/>
  <c r="C37" i="42"/>
  <c r="B37" i="42"/>
  <c r="O36" i="42"/>
  <c r="N36" i="42"/>
  <c r="I36" i="42"/>
  <c r="C36" i="42"/>
  <c r="O35" i="42"/>
  <c r="I35" i="42"/>
  <c r="C35" i="42"/>
  <c r="O24" i="42"/>
  <c r="I24" i="42"/>
  <c r="C24" i="42"/>
  <c r="B24" i="42"/>
  <c r="O23" i="42"/>
  <c r="I23" i="42"/>
  <c r="C23" i="42"/>
  <c r="B23" i="42"/>
  <c r="O22" i="42"/>
  <c r="N22" i="42"/>
  <c r="I22" i="42"/>
  <c r="C22" i="42"/>
  <c r="B22" i="42"/>
  <c r="N23" i="42"/>
  <c r="H23" i="42"/>
  <c r="O11" i="42"/>
  <c r="I11" i="42"/>
  <c r="C11" i="42"/>
  <c r="O10" i="42"/>
  <c r="N10" i="42"/>
  <c r="I10" i="42"/>
  <c r="C10" i="42"/>
  <c r="B10" i="42"/>
  <c r="O9" i="42"/>
  <c r="I9" i="42"/>
  <c r="C9" i="42"/>
  <c r="B9" i="42"/>
  <c r="O38" i="42" l="1"/>
  <c r="O25" i="42"/>
  <c r="I25" i="42"/>
  <c r="C25" i="42"/>
  <c r="O12" i="42"/>
  <c r="I38" i="42"/>
  <c r="I12" i="42"/>
  <c r="C38" i="42"/>
  <c r="C12" i="42"/>
  <c r="N38" i="42"/>
  <c r="N25" i="42"/>
  <c r="H25" i="42"/>
  <c r="J25" i="42" s="1"/>
  <c r="B25" i="42"/>
  <c r="H12" i="42"/>
  <c r="J12" i="42" s="1"/>
  <c r="N12" i="42"/>
  <c r="B38" i="42"/>
  <c r="H38" i="42"/>
  <c r="P38" i="42" l="1"/>
  <c r="P25" i="42"/>
  <c r="D25" i="42"/>
  <c r="J38" i="42"/>
  <c r="P12" i="42"/>
  <c r="D38" i="42"/>
  <c r="B11" i="42"/>
  <c r="B12" i="42" s="1"/>
  <c r="D12" i="42" s="1"/>
</calcChain>
</file>

<file path=xl/sharedStrings.xml><?xml version="1.0" encoding="utf-8"?>
<sst xmlns="http://schemas.openxmlformats.org/spreadsheetml/2006/main" count="594" uniqueCount="49">
  <si>
    <t>Total</t>
  </si>
  <si>
    <t>Major Predictors</t>
  </si>
  <si>
    <t>Minor Predictors</t>
  </si>
  <si>
    <t>Predictor</t>
  </si>
  <si>
    <t>Expected Contribution to target</t>
  </si>
  <si>
    <t>Major</t>
  </si>
  <si>
    <t>Minor</t>
  </si>
  <si>
    <t>Total Number of Predictors</t>
  </si>
  <si>
    <t>Total number of predictors</t>
  </si>
  <si>
    <t>Predictors having EDA aligned to expectations</t>
  </si>
  <si>
    <t>NFIM Aligned to expectations?</t>
  </si>
  <si>
    <t>Normalized Feature Importance Metric (NFIM)</t>
  </si>
  <si>
    <t>Predictors having NFIM aligned to expectations</t>
  </si>
  <si>
    <t>Predictors having EDA and NFIM aligned</t>
  </si>
  <si>
    <t>Points</t>
  </si>
  <si>
    <t>Ante-hoc Alignment</t>
  </si>
  <si>
    <t>Post-hoc Alignment</t>
  </si>
  <si>
    <t>Score</t>
  </si>
  <si>
    <t>EDA-FIM alignment</t>
  </si>
  <si>
    <t>Percentage</t>
  </si>
  <si>
    <t>Max. Possible points</t>
  </si>
  <si>
    <t>Ante-hoc aligned</t>
  </si>
  <si>
    <t>Post-hoc aligned</t>
  </si>
  <si>
    <t>EDA-FIM aligned</t>
  </si>
  <si>
    <t>NFIM cutoff</t>
  </si>
  <si>
    <t>p-value</t>
  </si>
  <si>
    <t>EDA alignment and NFIM alignment agree?</t>
  </si>
  <si>
    <t>p-value cutoff</t>
  </si>
  <si>
    <t>Explosives</t>
  </si>
  <si>
    <t>p aligned to expectations?</t>
  </si>
  <si>
    <t>KMF</t>
  </si>
  <si>
    <t>Class I TBs</t>
  </si>
  <si>
    <t>Class II TBs</t>
  </si>
  <si>
    <t>Number of N3</t>
  </si>
  <si>
    <t>Number of N</t>
  </si>
  <si>
    <t>Number of C</t>
  </si>
  <si>
    <t>H Bond Ratio</t>
  </si>
  <si>
    <t>Oxygen Balance</t>
  </si>
  <si>
    <t>NO2 adj to NO2</t>
  </si>
  <si>
    <t>NO2 adj to NH2</t>
  </si>
  <si>
    <t>NO2 adj to CO</t>
  </si>
  <si>
    <t>NO2 adj to CH3</t>
  </si>
  <si>
    <t>NO2 adj to OH</t>
  </si>
  <si>
    <t>NO2 adj to NH</t>
  </si>
  <si>
    <t>Aromatic Rings</t>
  </si>
  <si>
    <t>Aliphatic Rings</t>
  </si>
  <si>
    <t>VSAEState8</t>
  </si>
  <si>
    <t>SMRVSA5</t>
  </si>
  <si>
    <t>TPSA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</si>
</sst>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E+00"/>
    <numFmt numFmtId="166" formatCode="0.000"/>
  </numFmts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right"/>
    </xf>
    <xf numFmtId="0" fontId="0" fillId="2" borderId="0" xfId="0" applyFill="1"/>
    <xf numFmtId="0" fontId="0" fillId="3" borderId="0" xfId="0" applyFill="1"/>
    <xf numFmtId="0" fontId="1" fillId="4" borderId="0" xfId="0" applyFont="1" applyFill="1"/>
    <xf numFmtId="164" fontId="0" fillId="2" borderId="0" xfId="0" applyNumberFormat="1" applyFill="1"/>
    <xf numFmtId="164" fontId="0" fillId="3" borderId="0" xfId="0" applyNumberFormat="1" applyFill="1"/>
    <xf numFmtId="164" fontId="1" fillId="4" borderId="0" xfId="0" applyNumberFormat="1" applyFont="1" applyFill="1"/>
    <xf numFmtId="0" fontId="0" fillId="5" borderId="0" xfId="0" applyFill="1"/>
    <xf numFmtId="0" fontId="0" fillId="6" borderId="0" xfId="0" applyFill="1"/>
    <xf numFmtId="0" fontId="1" fillId="7" borderId="0" xfId="0" applyFont="1" applyFill="1"/>
    <xf numFmtId="164" fontId="0" fillId="5" borderId="0" xfId="0" applyNumberFormat="1" applyFill="1"/>
    <xf numFmtId="164" fontId="0" fillId="6" borderId="0" xfId="0" applyNumberFormat="1" applyFill="1"/>
    <xf numFmtId="164" fontId="1" fillId="7" borderId="0" xfId="0" applyNumberFormat="1" applyFont="1" applyFill="1"/>
    <xf numFmtId="0" fontId="0" fillId="8" borderId="0" xfId="0" applyFill="1"/>
    <xf numFmtId="0" fontId="0" fillId="9" borderId="0" xfId="0" applyFill="1"/>
    <xf numFmtId="0" fontId="1" fillId="10" borderId="0" xfId="0" applyFont="1" applyFill="1"/>
    <xf numFmtId="164" fontId="0" fillId="8" borderId="0" xfId="0" applyNumberFormat="1" applyFill="1"/>
    <xf numFmtId="164" fontId="0" fillId="9" borderId="0" xfId="0" applyNumberFormat="1" applyFill="1"/>
    <xf numFmtId="164" fontId="1" fillId="10" borderId="0" xfId="0" applyNumberFormat="1" applyFont="1" applyFill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E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354D5-9813-43CB-A5B2-BEAAC63B20AB}">
  <dimension ref="B2:H30"/>
  <sheetViews>
    <sheetView topLeftCell="A4" zoomScale="85" zoomScaleNormal="85" workbookViewId="0">
      <selection activeCell="C29" sqref="C29"/>
    </sheetView>
  </sheetViews>
  <sheetFormatPr defaultRowHeight="15" x14ac:dyDescent="0.25"/>
  <cols>
    <col min="2" max="2" width="42.7109375" customWidth="1"/>
    <col min="3" max="3" width="29.5703125" customWidth="1"/>
    <col min="4" max="4" width="77" customWidth="1"/>
    <col min="5" max="5" width="33.42578125" customWidth="1"/>
    <col min="6" max="6" width="43.42578125" customWidth="1"/>
    <col min="7" max="7" width="27.28515625" customWidth="1"/>
    <col min="8" max="8" width="38.7109375" customWidth="1"/>
    <col min="9" max="9" width="13.42578125" customWidth="1"/>
    <col min="10" max="10" width="22.42578125" customWidth="1"/>
  </cols>
  <sheetData>
    <row r="2" spans="2:8" x14ac:dyDescent="0.25">
      <c r="B2" t="s">
        <v>28</v>
      </c>
    </row>
    <row r="3" spans="2:8" x14ac:dyDescent="0.25">
      <c r="B3" t="s">
        <v>3</v>
      </c>
      <c r="C3" t="s">
        <v>4</v>
      </c>
      <c r="D3" s="1" t="s">
        <v>25</v>
      </c>
      <c r="E3" s="1" t="s">
        <v>29</v>
      </c>
      <c r="F3" s="1" t="s">
        <v>11</v>
      </c>
      <c r="G3" s="1" t="s">
        <v>10</v>
      </c>
      <c r="H3" t="s">
        <v>26</v>
      </c>
    </row>
    <row r="4" spans="2:8" x14ac:dyDescent="0.25">
      <c r="B4" t="s">
        <v>30</v>
      </c>
      <c r="C4" s="1" t="s">
        <v>5</v>
      </c>
      <c r="D4" s="20">
        <v>4.4766000000000001E-4</v>
      </c>
      <c r="E4" s="1" t="str">
        <f t="shared" ref="E4:E22" si="0">IF($C4 = "Major", IF($D4 &lt; 0.05, "Yes", "No"), IF($D4 &gt;= 0.05, "Yes", "No"))</f>
        <v>Yes</v>
      </c>
      <c r="F4" s="21">
        <v>9.3984604894827906E-2</v>
      </c>
      <c r="G4" s="1" t="str">
        <f>IF($C4="Major", IF($F4 &gt; 0.05, "Yes", "No"), IF($F4 &lt;= 0.05, "Yes", "No"))</f>
        <v>Yes</v>
      </c>
      <c r="H4" s="1" t="str">
        <f t="shared" ref="H4:H22" si="1">IF(OR( (AND(D4 &lt; 0.05, F4 &gt; 0.1)), (AND(D4 &gt;= 0.05, F4 &lt;= 0.1))), "Yes", "No")</f>
        <v>No</v>
      </c>
    </row>
    <row r="5" spans="2:8" x14ac:dyDescent="0.25">
      <c r="B5" t="s">
        <v>31</v>
      </c>
      <c r="C5" s="1" t="s">
        <v>5</v>
      </c>
      <c r="D5" s="20">
        <v>1.2039E-4</v>
      </c>
      <c r="E5" s="1" t="str">
        <f t="shared" si="0"/>
        <v>Yes</v>
      </c>
      <c r="F5" s="21">
        <v>3.90941260204044E-2</v>
      </c>
      <c r="G5" s="1" t="str">
        <f t="shared" ref="G5:G22" si="2">IF($C5="Major", IF($F5 &gt; 0.05, "Yes", "No"), IF($F5 &lt;= 0.05, "Yes", "No"))</f>
        <v>No</v>
      </c>
      <c r="H5" s="1" t="str">
        <f t="shared" si="1"/>
        <v>No</v>
      </c>
    </row>
    <row r="6" spans="2:8" x14ac:dyDescent="0.25">
      <c r="B6" t="s">
        <v>32</v>
      </c>
      <c r="C6" s="1" t="s">
        <v>5</v>
      </c>
      <c r="D6" s="20">
        <v>9.4777000000000004E-3</v>
      </c>
      <c r="E6" s="1" t="str">
        <f t="shared" si="0"/>
        <v>Yes</v>
      </c>
      <c r="F6" s="21">
        <v>3.9157140173577E-2</v>
      </c>
      <c r="G6" s="1" t="str">
        <f t="shared" si="2"/>
        <v>No</v>
      </c>
      <c r="H6" s="1" t="str">
        <f t="shared" si="1"/>
        <v>No</v>
      </c>
    </row>
    <row r="7" spans="2:8" x14ac:dyDescent="0.25">
      <c r="B7" t="s">
        <v>33</v>
      </c>
      <c r="C7" s="1" t="s">
        <v>5</v>
      </c>
      <c r="D7" s="20">
        <v>6.8495999999999996E-7</v>
      </c>
      <c r="E7" s="1" t="str">
        <f t="shared" si="0"/>
        <v>Yes</v>
      </c>
      <c r="F7" s="21">
        <v>5.1802958907761799E-2</v>
      </c>
      <c r="G7" s="1" t="str">
        <f t="shared" si="2"/>
        <v>Yes</v>
      </c>
      <c r="H7" s="1" t="str">
        <f t="shared" si="1"/>
        <v>No</v>
      </c>
    </row>
    <row r="8" spans="2:8" x14ac:dyDescent="0.25">
      <c r="B8" t="s">
        <v>34</v>
      </c>
      <c r="C8" s="1" t="s">
        <v>6</v>
      </c>
      <c r="D8">
        <v>6.5124000000000001E-2</v>
      </c>
      <c r="E8" s="1" t="str">
        <f t="shared" si="0"/>
        <v>Yes</v>
      </c>
      <c r="F8" s="21">
        <v>5.5230701442523698E-2</v>
      </c>
      <c r="G8" s="1" t="str">
        <f t="shared" si="2"/>
        <v>No</v>
      </c>
      <c r="H8" s="1" t="str">
        <f t="shared" si="1"/>
        <v>Yes</v>
      </c>
    </row>
    <row r="9" spans="2:8" x14ac:dyDescent="0.25">
      <c r="B9" t="s">
        <v>35</v>
      </c>
      <c r="C9" s="1" t="s">
        <v>6</v>
      </c>
      <c r="D9" s="20">
        <v>8.0957999999999996E-4</v>
      </c>
      <c r="E9" s="1" t="str">
        <f t="shared" si="0"/>
        <v>No</v>
      </c>
      <c r="F9" s="21">
        <v>8.3826426822547401E-2</v>
      </c>
      <c r="G9" s="1" t="str">
        <f t="shared" si="2"/>
        <v>No</v>
      </c>
      <c r="H9" s="1" t="str">
        <f t="shared" si="1"/>
        <v>No</v>
      </c>
    </row>
    <row r="10" spans="2:8" x14ac:dyDescent="0.25">
      <c r="B10" t="s">
        <v>36</v>
      </c>
      <c r="C10" s="1" t="s">
        <v>5</v>
      </c>
      <c r="D10" s="20">
        <v>1.5844999999999999E-7</v>
      </c>
      <c r="E10" s="1" t="str">
        <f t="shared" si="0"/>
        <v>Yes</v>
      </c>
      <c r="F10" s="21">
        <v>8.2912543463954394E-2</v>
      </c>
      <c r="G10" s="1" t="str">
        <f t="shared" si="2"/>
        <v>Yes</v>
      </c>
      <c r="H10" s="1" t="str">
        <f t="shared" si="1"/>
        <v>No</v>
      </c>
    </row>
    <row r="11" spans="2:8" x14ac:dyDescent="0.25">
      <c r="B11" t="s">
        <v>37</v>
      </c>
      <c r="C11" s="1" t="s">
        <v>5</v>
      </c>
      <c r="D11" s="20">
        <v>1.9613E-24</v>
      </c>
      <c r="E11" s="1" t="str">
        <f t="shared" si="0"/>
        <v>Yes</v>
      </c>
      <c r="F11" s="21">
        <v>0.24175623501945501</v>
      </c>
      <c r="G11" s="1" t="str">
        <f t="shared" si="2"/>
        <v>Yes</v>
      </c>
      <c r="H11" s="1" t="str">
        <f t="shared" si="1"/>
        <v>Yes</v>
      </c>
    </row>
    <row r="12" spans="2:8" x14ac:dyDescent="0.25">
      <c r="B12" t="s">
        <v>38</v>
      </c>
      <c r="C12" s="1" t="s">
        <v>6</v>
      </c>
      <c r="D12">
        <v>0.91956000000000004</v>
      </c>
      <c r="E12" s="1" t="str">
        <f t="shared" si="0"/>
        <v>Yes</v>
      </c>
      <c r="F12" s="21">
        <v>1.02865120119859E-2</v>
      </c>
      <c r="G12" s="1" t="str">
        <f t="shared" si="2"/>
        <v>Yes</v>
      </c>
      <c r="H12" s="1" t="str">
        <f t="shared" si="1"/>
        <v>Yes</v>
      </c>
    </row>
    <row r="13" spans="2:8" x14ac:dyDescent="0.25">
      <c r="B13" t="s">
        <v>39</v>
      </c>
      <c r="C13" s="1" t="s">
        <v>5</v>
      </c>
      <c r="D13" s="20">
        <v>3.1108000000000001E-5</v>
      </c>
      <c r="E13" s="1" t="str">
        <f t="shared" si="0"/>
        <v>Yes</v>
      </c>
      <c r="F13" s="21">
        <v>1.47296972868937E-2</v>
      </c>
      <c r="G13" s="1" t="str">
        <f t="shared" si="2"/>
        <v>No</v>
      </c>
      <c r="H13" s="1" t="str">
        <f t="shared" si="1"/>
        <v>No</v>
      </c>
    </row>
    <row r="14" spans="2:8" x14ac:dyDescent="0.25">
      <c r="B14" t="s">
        <v>40</v>
      </c>
      <c r="C14" s="1" t="s">
        <v>6</v>
      </c>
      <c r="D14">
        <v>0.42742999999999998</v>
      </c>
      <c r="E14" s="1" t="str">
        <f t="shared" si="0"/>
        <v>Yes</v>
      </c>
      <c r="F14" s="21">
        <v>5.8362673403129402E-3</v>
      </c>
      <c r="G14" s="1" t="str">
        <f t="shared" si="2"/>
        <v>Yes</v>
      </c>
      <c r="H14" s="1" t="str">
        <f t="shared" si="1"/>
        <v>Yes</v>
      </c>
    </row>
    <row r="15" spans="2:8" x14ac:dyDescent="0.25">
      <c r="B15" t="s">
        <v>41</v>
      </c>
      <c r="C15" s="1" t="s">
        <v>6</v>
      </c>
      <c r="D15">
        <v>0.21348</v>
      </c>
      <c r="E15" s="1" t="str">
        <f t="shared" si="0"/>
        <v>Yes</v>
      </c>
      <c r="F15" s="21">
        <v>2.9031860698207602E-3</v>
      </c>
      <c r="G15" s="1" t="str">
        <f t="shared" si="2"/>
        <v>Yes</v>
      </c>
      <c r="H15" s="1" t="str">
        <f t="shared" si="1"/>
        <v>Yes</v>
      </c>
    </row>
    <row r="16" spans="2:8" x14ac:dyDescent="0.25">
      <c r="B16" t="s">
        <v>42</v>
      </c>
      <c r="C16" s="1" t="s">
        <v>5</v>
      </c>
      <c r="D16">
        <v>3.2316999999999999E-2</v>
      </c>
      <c r="E16" s="1" t="str">
        <f t="shared" si="0"/>
        <v>Yes</v>
      </c>
      <c r="F16" s="21">
        <v>4.5976387108636703E-3</v>
      </c>
      <c r="G16" s="1" t="str">
        <f t="shared" si="2"/>
        <v>No</v>
      </c>
      <c r="H16" s="1" t="str">
        <f t="shared" si="1"/>
        <v>No</v>
      </c>
    </row>
    <row r="17" spans="2:8" x14ac:dyDescent="0.25">
      <c r="B17" t="s">
        <v>43</v>
      </c>
      <c r="C17" s="1" t="s">
        <v>6</v>
      </c>
      <c r="D17">
        <v>0.33599000000000001</v>
      </c>
      <c r="E17" s="1" t="str">
        <f t="shared" si="0"/>
        <v>Yes</v>
      </c>
      <c r="F17" s="21">
        <v>2.51822104035666E-2</v>
      </c>
      <c r="G17" s="1" t="str">
        <f t="shared" si="2"/>
        <v>Yes</v>
      </c>
      <c r="H17" s="1" t="str">
        <f t="shared" si="1"/>
        <v>Yes</v>
      </c>
    </row>
    <row r="18" spans="2:8" x14ac:dyDescent="0.25">
      <c r="B18" t="s">
        <v>44</v>
      </c>
      <c r="C18" s="1" t="s">
        <v>5</v>
      </c>
      <c r="D18" s="20">
        <v>7.0868E-5</v>
      </c>
      <c r="E18" s="1" t="str">
        <f t="shared" si="0"/>
        <v>Yes</v>
      </c>
      <c r="F18" s="21">
        <v>2.4219249081870401E-2</v>
      </c>
      <c r="G18" s="1" t="str">
        <f t="shared" si="2"/>
        <v>No</v>
      </c>
      <c r="H18" s="1" t="str">
        <f t="shared" si="1"/>
        <v>No</v>
      </c>
    </row>
    <row r="19" spans="2:8" x14ac:dyDescent="0.25">
      <c r="B19" t="s">
        <v>45</v>
      </c>
      <c r="C19" s="1" t="s">
        <v>6</v>
      </c>
      <c r="D19">
        <v>0.73111000000000004</v>
      </c>
      <c r="E19" s="1" t="str">
        <f t="shared" si="0"/>
        <v>Yes</v>
      </c>
      <c r="F19" s="21">
        <v>4.6495231389214403E-3</v>
      </c>
      <c r="G19" s="1" t="str">
        <f t="shared" si="2"/>
        <v>Yes</v>
      </c>
      <c r="H19" s="1" t="str">
        <f t="shared" si="1"/>
        <v>Yes</v>
      </c>
    </row>
    <row r="20" spans="2:8" x14ac:dyDescent="0.25">
      <c r="B20" t="s">
        <v>46</v>
      </c>
      <c r="C20" s="1" t="s">
        <v>5</v>
      </c>
      <c r="D20" s="20">
        <v>1.1064999999999999E-6</v>
      </c>
      <c r="E20" s="1" t="str">
        <f t="shared" si="0"/>
        <v>Yes</v>
      </c>
      <c r="F20" s="21">
        <v>8.9759149680617906E-2</v>
      </c>
      <c r="G20" s="1" t="str">
        <f t="shared" si="2"/>
        <v>Yes</v>
      </c>
      <c r="H20" s="1" t="str">
        <f t="shared" si="1"/>
        <v>No</v>
      </c>
    </row>
    <row r="21" spans="2:8" x14ac:dyDescent="0.25">
      <c r="B21" t="s">
        <v>47</v>
      </c>
      <c r="C21" s="1" t="s">
        <v>6</v>
      </c>
      <c r="D21">
        <v>0.12676000000000001</v>
      </c>
      <c r="E21" s="1" t="str">
        <f t="shared" si="0"/>
        <v>Yes</v>
      </c>
      <c r="F21" s="21">
        <v>5.28360538687071E-2</v>
      </c>
      <c r="G21" s="1" t="str">
        <f t="shared" si="2"/>
        <v>No</v>
      </c>
      <c r="H21" s="1" t="str">
        <f t="shared" si="1"/>
        <v>Yes</v>
      </c>
    </row>
    <row r="22" spans="2:8" x14ac:dyDescent="0.25">
      <c r="B22" t="s">
        <v>48</v>
      </c>
      <c r="C22" s="1" t="s">
        <v>6</v>
      </c>
      <c r="D22" s="20">
        <v>8.3077000000000004E-5</v>
      </c>
      <c r="E22" s="1" t="str">
        <f t="shared" si="0"/>
        <v>No</v>
      </c>
      <c r="F22" s="21">
        <v>7.7235775661386799E-2</v>
      </c>
      <c r="G22" s="1" t="str">
        <f t="shared" si="2"/>
        <v>No</v>
      </c>
      <c r="H22" s="1" t="str">
        <f t="shared" si="1"/>
        <v>No</v>
      </c>
    </row>
    <row r="23" spans="2:8" x14ac:dyDescent="0.25">
      <c r="F23" s="21"/>
    </row>
    <row r="25" spans="2:8" x14ac:dyDescent="0.25">
      <c r="B25" t="s">
        <v>1</v>
      </c>
      <c r="C25">
        <f>COUNTIF($C4:$C22,"Major")</f>
        <v>10</v>
      </c>
    </row>
    <row r="26" spans="2:8" x14ac:dyDescent="0.25">
      <c r="B26" t="s">
        <v>2</v>
      </c>
      <c r="C26">
        <f>COUNTIF($C4:$C22,"Minor")</f>
        <v>9</v>
      </c>
    </row>
    <row r="27" spans="2:8" x14ac:dyDescent="0.25">
      <c r="B27" t="s">
        <v>7</v>
      </c>
      <c r="C27">
        <f>SUM(C25:C26)</f>
        <v>19</v>
      </c>
    </row>
    <row r="28" spans="2:8" x14ac:dyDescent="0.25">
      <c r="B28" t="s">
        <v>9</v>
      </c>
      <c r="C28">
        <f>COUNTIF(E4:E22, "Yes")</f>
        <v>17</v>
      </c>
    </row>
    <row r="29" spans="2:8" x14ac:dyDescent="0.25">
      <c r="B29" t="s">
        <v>12</v>
      </c>
      <c r="C29">
        <f>COUNTIF(G4:G22, "Yes")</f>
        <v>10</v>
      </c>
    </row>
    <row r="30" spans="2:8" x14ac:dyDescent="0.25">
      <c r="B30" t="s">
        <v>13</v>
      </c>
      <c r="C30">
        <f>COUNTIF(H4:H22, "Yes")</f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B4691-FE35-4AC5-99B4-413AB99D3F63}">
  <dimension ref="B2:H30"/>
  <sheetViews>
    <sheetView topLeftCell="C4" zoomScale="85" zoomScaleNormal="85" workbookViewId="0">
      <selection activeCell="F24" sqref="F24"/>
    </sheetView>
  </sheetViews>
  <sheetFormatPr defaultRowHeight="15" x14ac:dyDescent="0.25"/>
  <cols>
    <col min="2" max="2" width="42.7109375" customWidth="1"/>
    <col min="3" max="3" width="29.5703125" customWidth="1"/>
    <col min="4" max="4" width="77" customWidth="1"/>
    <col min="5" max="5" width="33.42578125" customWidth="1"/>
    <col min="6" max="6" width="43.42578125" customWidth="1"/>
    <col min="7" max="7" width="27.28515625" customWidth="1"/>
    <col min="8" max="8" width="38.7109375" customWidth="1"/>
    <col min="9" max="9" width="13.42578125" customWidth="1"/>
    <col min="10" max="10" width="22.42578125" customWidth="1"/>
  </cols>
  <sheetData>
    <row r="2" spans="2:8" x14ac:dyDescent="0.25">
      <c r="B2" t="s">
        <v>28</v>
      </c>
    </row>
    <row r="3" spans="2:8" x14ac:dyDescent="0.25">
      <c r="B3" t="s">
        <v>3</v>
      </c>
      <c r="C3" t="s">
        <v>4</v>
      </c>
      <c r="D3" s="1" t="s">
        <v>25</v>
      </c>
      <c r="E3" s="1" t="s">
        <v>29</v>
      </c>
      <c r="F3" s="1" t="s">
        <v>11</v>
      </c>
      <c r="G3" s="1" t="s">
        <v>10</v>
      </c>
      <c r="H3" t="s">
        <v>26</v>
      </c>
    </row>
    <row r="4" spans="2:8" x14ac:dyDescent="0.25">
      <c r="B4" t="s">
        <v>30</v>
      </c>
      <c r="C4" s="1" t="s">
        <v>5</v>
      </c>
      <c r="D4" s="20">
        <v>4.4766000000000001E-4</v>
      </c>
      <c r="E4" s="1" t="str">
        <f t="shared" ref="E4:E22" si="0">IF($C4 = "Major", IF($D4 &lt; 0.05, "Yes", "No"), IF($D4 &gt;= 0.05, "Yes", "No"))</f>
        <v>Yes</v>
      </c>
      <c r="F4" s="21">
        <v>9.3984604894827906E-2</v>
      </c>
      <c r="G4" s="1" t="str">
        <f t="shared" ref="G4:G22" si="1">IF($C4="Major", IF($F4 &gt; 0.1, "Yes", "No"), IF($F4 &lt;= 0.1, "Yes", "No"))</f>
        <v>No</v>
      </c>
      <c r="H4" s="1" t="str">
        <f t="shared" ref="H4:H22" si="2">IF(OR( (AND(D4 &lt; 0.05, F4 &gt; 0.1)), (AND(D4 &gt;= 0.05, F4 &lt;= 0.1))), "Yes", "No")</f>
        <v>No</v>
      </c>
    </row>
    <row r="5" spans="2:8" x14ac:dyDescent="0.25">
      <c r="B5" t="s">
        <v>31</v>
      </c>
      <c r="C5" s="1" t="s">
        <v>5</v>
      </c>
      <c r="D5" s="20">
        <v>1.2039E-4</v>
      </c>
      <c r="E5" s="1" t="str">
        <f t="shared" si="0"/>
        <v>Yes</v>
      </c>
      <c r="F5" s="21">
        <v>3.90941260204044E-2</v>
      </c>
      <c r="G5" s="1" t="str">
        <f t="shared" si="1"/>
        <v>No</v>
      </c>
      <c r="H5" s="1" t="str">
        <f t="shared" si="2"/>
        <v>No</v>
      </c>
    </row>
    <row r="6" spans="2:8" x14ac:dyDescent="0.25">
      <c r="B6" t="s">
        <v>32</v>
      </c>
      <c r="C6" s="1" t="s">
        <v>5</v>
      </c>
      <c r="D6" s="20">
        <v>9.4777000000000004E-3</v>
      </c>
      <c r="E6" s="1" t="str">
        <f t="shared" si="0"/>
        <v>Yes</v>
      </c>
      <c r="F6" s="21">
        <v>3.9157140173577E-2</v>
      </c>
      <c r="G6" s="1" t="str">
        <f t="shared" si="1"/>
        <v>No</v>
      </c>
      <c r="H6" s="1" t="str">
        <f t="shared" si="2"/>
        <v>No</v>
      </c>
    </row>
    <row r="7" spans="2:8" x14ac:dyDescent="0.25">
      <c r="B7" t="s">
        <v>33</v>
      </c>
      <c r="C7" s="1" t="s">
        <v>5</v>
      </c>
      <c r="D7" s="20">
        <v>6.8495999999999996E-7</v>
      </c>
      <c r="E7" s="1" t="str">
        <f t="shared" si="0"/>
        <v>Yes</v>
      </c>
      <c r="F7" s="21">
        <v>5.1802958907761799E-2</v>
      </c>
      <c r="G7" s="1" t="str">
        <f t="shared" si="1"/>
        <v>No</v>
      </c>
      <c r="H7" s="1" t="str">
        <f t="shared" si="2"/>
        <v>No</v>
      </c>
    </row>
    <row r="8" spans="2:8" x14ac:dyDescent="0.25">
      <c r="B8" t="s">
        <v>34</v>
      </c>
      <c r="C8" s="1" t="s">
        <v>6</v>
      </c>
      <c r="D8">
        <v>6.5124000000000001E-2</v>
      </c>
      <c r="E8" s="1" t="str">
        <f t="shared" si="0"/>
        <v>Yes</v>
      </c>
      <c r="F8" s="21">
        <v>5.5230701442523698E-2</v>
      </c>
      <c r="G8" s="1" t="str">
        <f t="shared" si="1"/>
        <v>Yes</v>
      </c>
      <c r="H8" s="1" t="str">
        <f t="shared" si="2"/>
        <v>Yes</v>
      </c>
    </row>
    <row r="9" spans="2:8" x14ac:dyDescent="0.25">
      <c r="B9" t="s">
        <v>35</v>
      </c>
      <c r="C9" s="1" t="s">
        <v>6</v>
      </c>
      <c r="D9" s="20">
        <v>8.0957999999999996E-4</v>
      </c>
      <c r="E9" s="1" t="str">
        <f t="shared" si="0"/>
        <v>No</v>
      </c>
      <c r="F9" s="21">
        <v>8.3826426822547401E-2</v>
      </c>
      <c r="G9" s="1" t="str">
        <f t="shared" si="1"/>
        <v>Yes</v>
      </c>
      <c r="H9" s="1" t="str">
        <f t="shared" si="2"/>
        <v>No</v>
      </c>
    </row>
    <row r="10" spans="2:8" x14ac:dyDescent="0.25">
      <c r="B10" t="s">
        <v>36</v>
      </c>
      <c r="C10" s="1" t="s">
        <v>5</v>
      </c>
      <c r="D10" s="20">
        <v>1.5844999999999999E-7</v>
      </c>
      <c r="E10" s="1" t="str">
        <f t="shared" si="0"/>
        <v>Yes</v>
      </c>
      <c r="F10" s="21">
        <v>8.2912543463954394E-2</v>
      </c>
      <c r="G10" s="1" t="str">
        <f t="shared" si="1"/>
        <v>No</v>
      </c>
      <c r="H10" s="1" t="str">
        <f t="shared" si="2"/>
        <v>No</v>
      </c>
    </row>
    <row r="11" spans="2:8" x14ac:dyDescent="0.25">
      <c r="B11" t="s">
        <v>37</v>
      </c>
      <c r="C11" s="1" t="s">
        <v>5</v>
      </c>
      <c r="D11" s="20">
        <v>1.9613E-24</v>
      </c>
      <c r="E11" s="1" t="str">
        <f t="shared" si="0"/>
        <v>Yes</v>
      </c>
      <c r="F11" s="21">
        <v>0.24175623501945501</v>
      </c>
      <c r="G11" s="1" t="str">
        <f t="shared" si="1"/>
        <v>Yes</v>
      </c>
      <c r="H11" s="1" t="str">
        <f t="shared" si="2"/>
        <v>Yes</v>
      </c>
    </row>
    <row r="12" spans="2:8" x14ac:dyDescent="0.25">
      <c r="B12" t="s">
        <v>38</v>
      </c>
      <c r="C12" s="1" t="s">
        <v>6</v>
      </c>
      <c r="D12">
        <v>0.91956000000000004</v>
      </c>
      <c r="E12" s="1" t="str">
        <f t="shared" si="0"/>
        <v>Yes</v>
      </c>
      <c r="F12" s="21">
        <v>1.02865120119859E-2</v>
      </c>
      <c r="G12" s="1" t="str">
        <f t="shared" si="1"/>
        <v>Yes</v>
      </c>
      <c r="H12" s="1" t="str">
        <f t="shared" si="2"/>
        <v>Yes</v>
      </c>
    </row>
    <row r="13" spans="2:8" x14ac:dyDescent="0.25">
      <c r="B13" t="s">
        <v>39</v>
      </c>
      <c r="C13" s="1" t="s">
        <v>5</v>
      </c>
      <c r="D13" s="20">
        <v>3.1108000000000001E-5</v>
      </c>
      <c r="E13" s="1" t="str">
        <f t="shared" si="0"/>
        <v>Yes</v>
      </c>
      <c r="F13" s="21">
        <v>1.47296972868937E-2</v>
      </c>
      <c r="G13" s="1" t="str">
        <f t="shared" si="1"/>
        <v>No</v>
      </c>
      <c r="H13" s="1" t="str">
        <f t="shared" si="2"/>
        <v>No</v>
      </c>
    </row>
    <row r="14" spans="2:8" x14ac:dyDescent="0.25">
      <c r="B14" t="s">
        <v>40</v>
      </c>
      <c r="C14" s="1" t="s">
        <v>6</v>
      </c>
      <c r="D14">
        <v>0.42742999999999998</v>
      </c>
      <c r="E14" s="1" t="str">
        <f t="shared" si="0"/>
        <v>Yes</v>
      </c>
      <c r="F14" s="21">
        <v>5.8362673403129402E-3</v>
      </c>
      <c r="G14" s="1" t="str">
        <f t="shared" si="1"/>
        <v>Yes</v>
      </c>
      <c r="H14" s="1" t="str">
        <f t="shared" si="2"/>
        <v>Yes</v>
      </c>
    </row>
    <row r="15" spans="2:8" x14ac:dyDescent="0.25">
      <c r="B15" t="s">
        <v>41</v>
      </c>
      <c r="C15" s="1" t="s">
        <v>6</v>
      </c>
      <c r="D15">
        <v>0.21348</v>
      </c>
      <c r="E15" s="1" t="str">
        <f t="shared" si="0"/>
        <v>Yes</v>
      </c>
      <c r="F15" s="21">
        <v>2.9031860698207602E-3</v>
      </c>
      <c r="G15" s="1" t="str">
        <f t="shared" si="1"/>
        <v>Yes</v>
      </c>
      <c r="H15" s="1" t="str">
        <f t="shared" si="2"/>
        <v>Yes</v>
      </c>
    </row>
    <row r="16" spans="2:8" x14ac:dyDescent="0.25">
      <c r="B16" t="s">
        <v>42</v>
      </c>
      <c r="C16" s="1" t="s">
        <v>5</v>
      </c>
      <c r="D16">
        <v>3.2316999999999999E-2</v>
      </c>
      <c r="E16" s="1" t="str">
        <f t="shared" si="0"/>
        <v>Yes</v>
      </c>
      <c r="F16" s="21">
        <v>4.5976387108636703E-3</v>
      </c>
      <c r="G16" s="1" t="str">
        <f t="shared" si="1"/>
        <v>No</v>
      </c>
      <c r="H16" s="1" t="str">
        <f t="shared" si="2"/>
        <v>No</v>
      </c>
    </row>
    <row r="17" spans="2:8" x14ac:dyDescent="0.25">
      <c r="B17" t="s">
        <v>43</v>
      </c>
      <c r="C17" s="1" t="s">
        <v>6</v>
      </c>
      <c r="D17">
        <v>0.33599000000000001</v>
      </c>
      <c r="E17" s="1" t="str">
        <f t="shared" si="0"/>
        <v>Yes</v>
      </c>
      <c r="F17" s="21">
        <v>2.51822104035666E-2</v>
      </c>
      <c r="G17" s="1" t="str">
        <f t="shared" si="1"/>
        <v>Yes</v>
      </c>
      <c r="H17" s="1" t="str">
        <f t="shared" si="2"/>
        <v>Yes</v>
      </c>
    </row>
    <row r="18" spans="2:8" x14ac:dyDescent="0.25">
      <c r="B18" t="s">
        <v>44</v>
      </c>
      <c r="C18" s="1" t="s">
        <v>5</v>
      </c>
      <c r="D18" s="20">
        <v>7.0868E-5</v>
      </c>
      <c r="E18" s="1" t="str">
        <f t="shared" si="0"/>
        <v>Yes</v>
      </c>
      <c r="F18" s="21">
        <v>2.4219249081870401E-2</v>
      </c>
      <c r="G18" s="1" t="str">
        <f t="shared" si="1"/>
        <v>No</v>
      </c>
      <c r="H18" s="1" t="str">
        <f t="shared" si="2"/>
        <v>No</v>
      </c>
    </row>
    <row r="19" spans="2:8" x14ac:dyDescent="0.25">
      <c r="B19" t="s">
        <v>45</v>
      </c>
      <c r="C19" s="1" t="s">
        <v>6</v>
      </c>
      <c r="D19">
        <v>0.73111000000000004</v>
      </c>
      <c r="E19" s="1" t="str">
        <f t="shared" si="0"/>
        <v>Yes</v>
      </c>
      <c r="F19" s="21">
        <v>4.6495231389214403E-3</v>
      </c>
      <c r="G19" s="1" t="str">
        <f t="shared" si="1"/>
        <v>Yes</v>
      </c>
      <c r="H19" s="1" t="str">
        <f t="shared" si="2"/>
        <v>Yes</v>
      </c>
    </row>
    <row r="20" spans="2:8" x14ac:dyDescent="0.25">
      <c r="B20" t="s">
        <v>46</v>
      </c>
      <c r="C20" s="1" t="s">
        <v>5</v>
      </c>
      <c r="D20" s="20">
        <v>1.1064999999999999E-6</v>
      </c>
      <c r="E20" s="1" t="str">
        <f t="shared" si="0"/>
        <v>Yes</v>
      </c>
      <c r="F20" s="21">
        <v>8.9759149680617906E-2</v>
      </c>
      <c r="G20" s="1" t="str">
        <f t="shared" si="1"/>
        <v>No</v>
      </c>
      <c r="H20" s="1" t="str">
        <f t="shared" si="2"/>
        <v>No</v>
      </c>
    </row>
    <row r="21" spans="2:8" x14ac:dyDescent="0.25">
      <c r="B21" t="s">
        <v>47</v>
      </c>
      <c r="C21" s="1" t="s">
        <v>6</v>
      </c>
      <c r="D21">
        <v>0.12676000000000001</v>
      </c>
      <c r="E21" s="1" t="str">
        <f t="shared" si="0"/>
        <v>Yes</v>
      </c>
      <c r="F21" s="21">
        <v>5.28360538687071E-2</v>
      </c>
      <c r="G21" s="1" t="str">
        <f t="shared" si="1"/>
        <v>Yes</v>
      </c>
      <c r="H21" s="1" t="str">
        <f t="shared" si="2"/>
        <v>Yes</v>
      </c>
    </row>
    <row r="22" spans="2:8" x14ac:dyDescent="0.25">
      <c r="B22" t="s">
        <v>48</v>
      </c>
      <c r="C22" s="1" t="s">
        <v>6</v>
      </c>
      <c r="D22" s="20">
        <v>8.3077000000000004E-5</v>
      </c>
      <c r="E22" s="1" t="str">
        <f t="shared" si="0"/>
        <v>No</v>
      </c>
      <c r="F22" s="21">
        <v>7.7235775661386799E-2</v>
      </c>
      <c r="G22" s="1" t="str">
        <f t="shared" si="1"/>
        <v>Yes</v>
      </c>
      <c r="H22" s="1" t="str">
        <f t="shared" si="2"/>
        <v>No</v>
      </c>
    </row>
    <row r="23" spans="2:8" x14ac:dyDescent="0.25">
      <c r="F23" s="21"/>
    </row>
    <row r="25" spans="2:8" x14ac:dyDescent="0.25">
      <c r="B25" t="s">
        <v>1</v>
      </c>
      <c r="C25">
        <f>COUNTIF($C4:$C22,"Major")</f>
        <v>10</v>
      </c>
    </row>
    <row r="26" spans="2:8" x14ac:dyDescent="0.25">
      <c r="B26" t="s">
        <v>2</v>
      </c>
      <c r="C26">
        <f>COUNTIF($C4:$C22,"Minor")</f>
        <v>9</v>
      </c>
    </row>
    <row r="27" spans="2:8" x14ac:dyDescent="0.25">
      <c r="B27" t="s">
        <v>7</v>
      </c>
      <c r="C27">
        <f>SUM(C25:C26)</f>
        <v>19</v>
      </c>
    </row>
    <row r="28" spans="2:8" x14ac:dyDescent="0.25">
      <c r="B28" t="s">
        <v>9</v>
      </c>
      <c r="C28">
        <f>COUNTIF(E4:E22, "Yes")</f>
        <v>17</v>
      </c>
    </row>
    <row r="29" spans="2:8" x14ac:dyDescent="0.25">
      <c r="B29" t="s">
        <v>12</v>
      </c>
      <c r="C29">
        <f>COUNTIF(G4:G22, "Yes")</f>
        <v>10</v>
      </c>
    </row>
    <row r="30" spans="2:8" x14ac:dyDescent="0.25">
      <c r="B30" t="s">
        <v>13</v>
      </c>
      <c r="C30">
        <f>COUNTIF(H4:H22, "Yes")</f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DC461-ADC5-4557-88CF-27F0E9962075}">
  <dimension ref="B2:H30"/>
  <sheetViews>
    <sheetView topLeftCell="C4" zoomScale="85" zoomScaleNormal="85" workbookViewId="0">
      <selection activeCell="E5" sqref="E5:E22"/>
    </sheetView>
  </sheetViews>
  <sheetFormatPr defaultRowHeight="15" x14ac:dyDescent="0.25"/>
  <cols>
    <col min="2" max="2" width="42.7109375" customWidth="1"/>
    <col min="3" max="3" width="29.5703125" customWidth="1"/>
    <col min="4" max="4" width="77" customWidth="1"/>
    <col min="5" max="5" width="33.42578125" customWidth="1"/>
    <col min="6" max="6" width="43.42578125" customWidth="1"/>
    <col min="7" max="7" width="27.28515625" customWidth="1"/>
    <col min="8" max="8" width="38.7109375" customWidth="1"/>
    <col min="9" max="9" width="13.42578125" customWidth="1"/>
    <col min="10" max="10" width="22.42578125" customWidth="1"/>
  </cols>
  <sheetData>
    <row r="2" spans="2:8" x14ac:dyDescent="0.25">
      <c r="B2" t="s">
        <v>28</v>
      </c>
    </row>
    <row r="3" spans="2:8" x14ac:dyDescent="0.25">
      <c r="B3" t="s">
        <v>3</v>
      </c>
      <c r="C3" t="s">
        <v>4</v>
      </c>
      <c r="D3" s="1" t="s">
        <v>25</v>
      </c>
      <c r="E3" s="1" t="s">
        <v>29</v>
      </c>
      <c r="F3" s="1" t="s">
        <v>11</v>
      </c>
      <c r="G3" s="1" t="s">
        <v>10</v>
      </c>
      <c r="H3" t="s">
        <v>26</v>
      </c>
    </row>
    <row r="4" spans="2:8" x14ac:dyDescent="0.25">
      <c r="B4" t="s">
        <v>30</v>
      </c>
      <c r="C4" s="1" t="s">
        <v>5</v>
      </c>
      <c r="D4" s="20">
        <v>4.4766000000000001E-4</v>
      </c>
      <c r="E4" s="1" t="str">
        <f>IF($C4 = "Major", IF($D4 &lt; 0.05, "Yes", "No"), IF($D4 &gt;= 0.05, "Yes", "No"))</f>
        <v>Yes</v>
      </c>
      <c r="F4" s="21">
        <v>9.3984604894827906E-2</v>
      </c>
      <c r="G4" s="1" t="str">
        <f>IF($C4="Major", IF($F4 &gt; 0.15, "Yes", "No"), IF($F4 &lt;= 0.15, "Yes", "No"))</f>
        <v>No</v>
      </c>
      <c r="H4" s="1" t="str">
        <f t="shared" ref="H4:H22" si="0">IF(OR( (AND(D4 &lt; 0.05, F4 &gt; 0.1)), (AND(D4 &gt;= 0.05, F4 &lt;= 0.1))), "Yes", "No")</f>
        <v>No</v>
      </c>
    </row>
    <row r="5" spans="2:8" x14ac:dyDescent="0.25">
      <c r="B5" t="s">
        <v>31</v>
      </c>
      <c r="C5" s="1" t="s">
        <v>5</v>
      </c>
      <c r="D5" s="20">
        <v>1.2039E-4</v>
      </c>
      <c r="E5" s="1" t="str">
        <f t="shared" ref="E5:E22" si="1">IF($C5 = "Major", IF($D5 &lt; 0.05, "Yes", "No"), IF($D5 &gt;= 0.05, "Yes", "No"))</f>
        <v>Yes</v>
      </c>
      <c r="F5" s="21">
        <v>3.90941260204044E-2</v>
      </c>
      <c r="G5" s="1" t="str">
        <f t="shared" ref="G5:G22" si="2">IF($C5="Major", IF($F5 &gt; 0.15, "Yes", "No"), IF($F5 &lt;= 0.15, "Yes", "No"))</f>
        <v>No</v>
      </c>
      <c r="H5" s="1" t="str">
        <f t="shared" si="0"/>
        <v>No</v>
      </c>
    </row>
    <row r="6" spans="2:8" x14ac:dyDescent="0.25">
      <c r="B6" t="s">
        <v>32</v>
      </c>
      <c r="C6" s="1" t="s">
        <v>5</v>
      </c>
      <c r="D6" s="20">
        <v>9.4777000000000004E-3</v>
      </c>
      <c r="E6" s="1" t="str">
        <f t="shared" si="1"/>
        <v>Yes</v>
      </c>
      <c r="F6" s="21">
        <v>3.9157140173577E-2</v>
      </c>
      <c r="G6" s="1" t="str">
        <f t="shared" si="2"/>
        <v>No</v>
      </c>
      <c r="H6" s="1" t="str">
        <f t="shared" si="0"/>
        <v>No</v>
      </c>
    </row>
    <row r="7" spans="2:8" x14ac:dyDescent="0.25">
      <c r="B7" t="s">
        <v>33</v>
      </c>
      <c r="C7" s="1" t="s">
        <v>5</v>
      </c>
      <c r="D7" s="20">
        <v>6.8495999999999996E-7</v>
      </c>
      <c r="E7" s="1" t="str">
        <f t="shared" si="1"/>
        <v>Yes</v>
      </c>
      <c r="F7" s="21">
        <v>5.1802958907761799E-2</v>
      </c>
      <c r="G7" s="1" t="str">
        <f t="shared" si="2"/>
        <v>No</v>
      </c>
      <c r="H7" s="1" t="str">
        <f t="shared" si="0"/>
        <v>No</v>
      </c>
    </row>
    <row r="8" spans="2:8" x14ac:dyDescent="0.25">
      <c r="B8" t="s">
        <v>34</v>
      </c>
      <c r="C8" s="1" t="s">
        <v>6</v>
      </c>
      <c r="D8">
        <v>6.5124000000000001E-2</v>
      </c>
      <c r="E8" s="1" t="str">
        <f t="shared" si="1"/>
        <v>Yes</v>
      </c>
      <c r="F8" s="21">
        <v>5.5230701442523698E-2</v>
      </c>
      <c r="G8" s="1" t="str">
        <f t="shared" si="2"/>
        <v>Yes</v>
      </c>
      <c r="H8" s="1" t="str">
        <f t="shared" si="0"/>
        <v>Yes</v>
      </c>
    </row>
    <row r="9" spans="2:8" x14ac:dyDescent="0.25">
      <c r="B9" t="s">
        <v>35</v>
      </c>
      <c r="C9" s="1" t="s">
        <v>6</v>
      </c>
      <c r="D9" s="20">
        <v>8.0957999999999996E-4</v>
      </c>
      <c r="E9" s="1" t="str">
        <f t="shared" si="1"/>
        <v>No</v>
      </c>
      <c r="F9" s="21">
        <v>8.3826426822547401E-2</v>
      </c>
      <c r="G9" s="1" t="str">
        <f t="shared" si="2"/>
        <v>Yes</v>
      </c>
      <c r="H9" s="1" t="str">
        <f t="shared" si="0"/>
        <v>No</v>
      </c>
    </row>
    <row r="10" spans="2:8" x14ac:dyDescent="0.25">
      <c r="B10" t="s">
        <v>36</v>
      </c>
      <c r="C10" s="1" t="s">
        <v>5</v>
      </c>
      <c r="D10" s="20">
        <v>1.5844999999999999E-7</v>
      </c>
      <c r="E10" s="1" t="str">
        <f t="shared" si="1"/>
        <v>Yes</v>
      </c>
      <c r="F10" s="21">
        <v>8.2912543463954394E-2</v>
      </c>
      <c r="G10" s="1" t="str">
        <f t="shared" si="2"/>
        <v>No</v>
      </c>
      <c r="H10" s="1" t="str">
        <f t="shared" si="0"/>
        <v>No</v>
      </c>
    </row>
    <row r="11" spans="2:8" x14ac:dyDescent="0.25">
      <c r="B11" t="s">
        <v>37</v>
      </c>
      <c r="C11" s="1" t="s">
        <v>5</v>
      </c>
      <c r="D11" s="20">
        <v>1.9613E-24</v>
      </c>
      <c r="E11" s="1" t="str">
        <f t="shared" si="1"/>
        <v>Yes</v>
      </c>
      <c r="F11" s="21">
        <v>0.24175623501945501</v>
      </c>
      <c r="G11" s="1" t="str">
        <f t="shared" si="2"/>
        <v>Yes</v>
      </c>
      <c r="H11" s="1" t="str">
        <f t="shared" si="0"/>
        <v>Yes</v>
      </c>
    </row>
    <row r="12" spans="2:8" x14ac:dyDescent="0.25">
      <c r="B12" t="s">
        <v>38</v>
      </c>
      <c r="C12" s="1" t="s">
        <v>6</v>
      </c>
      <c r="D12">
        <v>0.91956000000000004</v>
      </c>
      <c r="E12" s="1" t="str">
        <f t="shared" si="1"/>
        <v>Yes</v>
      </c>
      <c r="F12" s="21">
        <v>1.02865120119859E-2</v>
      </c>
      <c r="G12" s="1" t="str">
        <f t="shared" si="2"/>
        <v>Yes</v>
      </c>
      <c r="H12" s="1" t="str">
        <f t="shared" si="0"/>
        <v>Yes</v>
      </c>
    </row>
    <row r="13" spans="2:8" x14ac:dyDescent="0.25">
      <c r="B13" t="s">
        <v>39</v>
      </c>
      <c r="C13" s="1" t="s">
        <v>5</v>
      </c>
      <c r="D13" s="20">
        <v>3.1108000000000001E-5</v>
      </c>
      <c r="E13" s="1" t="str">
        <f t="shared" si="1"/>
        <v>Yes</v>
      </c>
      <c r="F13" s="21">
        <v>1.47296972868937E-2</v>
      </c>
      <c r="G13" s="1" t="str">
        <f t="shared" si="2"/>
        <v>No</v>
      </c>
      <c r="H13" s="1" t="str">
        <f t="shared" si="0"/>
        <v>No</v>
      </c>
    </row>
    <row r="14" spans="2:8" x14ac:dyDescent="0.25">
      <c r="B14" t="s">
        <v>40</v>
      </c>
      <c r="C14" s="1" t="s">
        <v>6</v>
      </c>
      <c r="D14">
        <v>0.42742999999999998</v>
      </c>
      <c r="E14" s="1" t="str">
        <f t="shared" si="1"/>
        <v>Yes</v>
      </c>
      <c r="F14" s="21">
        <v>5.8362673403129402E-3</v>
      </c>
      <c r="G14" s="1" t="str">
        <f t="shared" si="2"/>
        <v>Yes</v>
      </c>
      <c r="H14" s="1" t="str">
        <f t="shared" si="0"/>
        <v>Yes</v>
      </c>
    </row>
    <row r="15" spans="2:8" x14ac:dyDescent="0.25">
      <c r="B15" t="s">
        <v>41</v>
      </c>
      <c r="C15" s="1" t="s">
        <v>6</v>
      </c>
      <c r="D15">
        <v>0.21348</v>
      </c>
      <c r="E15" s="1" t="str">
        <f t="shared" si="1"/>
        <v>Yes</v>
      </c>
      <c r="F15" s="21">
        <v>2.9031860698207602E-3</v>
      </c>
      <c r="G15" s="1" t="str">
        <f t="shared" si="2"/>
        <v>Yes</v>
      </c>
      <c r="H15" s="1" t="str">
        <f t="shared" si="0"/>
        <v>Yes</v>
      </c>
    </row>
    <row r="16" spans="2:8" x14ac:dyDescent="0.25">
      <c r="B16" t="s">
        <v>42</v>
      </c>
      <c r="C16" s="1" t="s">
        <v>5</v>
      </c>
      <c r="D16">
        <v>3.2316999999999999E-2</v>
      </c>
      <c r="E16" s="1" t="str">
        <f t="shared" si="1"/>
        <v>Yes</v>
      </c>
      <c r="F16" s="21">
        <v>4.5976387108636703E-3</v>
      </c>
      <c r="G16" s="1" t="str">
        <f t="shared" si="2"/>
        <v>No</v>
      </c>
      <c r="H16" s="1" t="str">
        <f t="shared" si="0"/>
        <v>No</v>
      </c>
    </row>
    <row r="17" spans="2:8" x14ac:dyDescent="0.25">
      <c r="B17" t="s">
        <v>43</v>
      </c>
      <c r="C17" s="1" t="s">
        <v>6</v>
      </c>
      <c r="D17">
        <v>0.33599000000000001</v>
      </c>
      <c r="E17" s="1" t="str">
        <f t="shared" si="1"/>
        <v>Yes</v>
      </c>
      <c r="F17" s="21">
        <v>2.51822104035666E-2</v>
      </c>
      <c r="G17" s="1" t="str">
        <f t="shared" si="2"/>
        <v>Yes</v>
      </c>
      <c r="H17" s="1" t="str">
        <f t="shared" si="0"/>
        <v>Yes</v>
      </c>
    </row>
    <row r="18" spans="2:8" x14ac:dyDescent="0.25">
      <c r="B18" t="s">
        <v>44</v>
      </c>
      <c r="C18" s="1" t="s">
        <v>5</v>
      </c>
      <c r="D18" s="20">
        <v>7.0868E-5</v>
      </c>
      <c r="E18" s="1" t="str">
        <f t="shared" si="1"/>
        <v>Yes</v>
      </c>
      <c r="F18" s="21">
        <v>2.4219249081870401E-2</v>
      </c>
      <c r="G18" s="1" t="str">
        <f t="shared" si="2"/>
        <v>No</v>
      </c>
      <c r="H18" s="1" t="str">
        <f t="shared" si="0"/>
        <v>No</v>
      </c>
    </row>
    <row r="19" spans="2:8" x14ac:dyDescent="0.25">
      <c r="B19" t="s">
        <v>45</v>
      </c>
      <c r="C19" s="1" t="s">
        <v>6</v>
      </c>
      <c r="D19">
        <v>0.73111000000000004</v>
      </c>
      <c r="E19" s="1" t="str">
        <f t="shared" si="1"/>
        <v>Yes</v>
      </c>
      <c r="F19" s="21">
        <v>4.6495231389214403E-3</v>
      </c>
      <c r="G19" s="1" t="str">
        <f t="shared" si="2"/>
        <v>Yes</v>
      </c>
      <c r="H19" s="1" t="str">
        <f t="shared" si="0"/>
        <v>Yes</v>
      </c>
    </row>
    <row r="20" spans="2:8" x14ac:dyDescent="0.25">
      <c r="B20" t="s">
        <v>46</v>
      </c>
      <c r="C20" s="1" t="s">
        <v>5</v>
      </c>
      <c r="D20" s="20">
        <v>1.1064999999999999E-6</v>
      </c>
      <c r="E20" s="1" t="str">
        <f t="shared" si="1"/>
        <v>Yes</v>
      </c>
      <c r="F20" s="21">
        <v>8.9759149680617906E-2</v>
      </c>
      <c r="G20" s="1" t="str">
        <f t="shared" si="2"/>
        <v>No</v>
      </c>
      <c r="H20" s="1" t="str">
        <f t="shared" si="0"/>
        <v>No</v>
      </c>
    </row>
    <row r="21" spans="2:8" x14ac:dyDescent="0.25">
      <c r="B21" t="s">
        <v>47</v>
      </c>
      <c r="C21" s="1" t="s">
        <v>6</v>
      </c>
      <c r="D21">
        <v>0.12676000000000001</v>
      </c>
      <c r="E21" s="1" t="str">
        <f t="shared" si="1"/>
        <v>Yes</v>
      </c>
      <c r="F21" s="21">
        <v>5.28360538687071E-2</v>
      </c>
      <c r="G21" s="1" t="str">
        <f t="shared" si="2"/>
        <v>Yes</v>
      </c>
      <c r="H21" s="1" t="str">
        <f t="shared" si="0"/>
        <v>Yes</v>
      </c>
    </row>
    <row r="22" spans="2:8" x14ac:dyDescent="0.25">
      <c r="B22" t="s">
        <v>48</v>
      </c>
      <c r="C22" s="1" t="s">
        <v>6</v>
      </c>
      <c r="D22" s="20">
        <v>8.3077000000000004E-5</v>
      </c>
      <c r="E22" s="1" t="str">
        <f t="shared" si="1"/>
        <v>No</v>
      </c>
      <c r="F22" s="21">
        <v>7.7235775661386799E-2</v>
      </c>
      <c r="G22" s="1" t="str">
        <f t="shared" si="2"/>
        <v>Yes</v>
      </c>
      <c r="H22" s="1" t="str">
        <f t="shared" si="0"/>
        <v>No</v>
      </c>
    </row>
    <row r="23" spans="2:8" x14ac:dyDescent="0.25">
      <c r="F23" s="21"/>
    </row>
    <row r="25" spans="2:8" x14ac:dyDescent="0.25">
      <c r="B25" t="s">
        <v>1</v>
      </c>
      <c r="C25">
        <f>COUNTIF($C4:$C22,"Major")</f>
        <v>10</v>
      </c>
    </row>
    <row r="26" spans="2:8" x14ac:dyDescent="0.25">
      <c r="B26" t="s">
        <v>2</v>
      </c>
      <c r="C26">
        <f>COUNTIF($C4:$C22,"Minor")</f>
        <v>9</v>
      </c>
    </row>
    <row r="27" spans="2:8" x14ac:dyDescent="0.25">
      <c r="B27" t="s">
        <v>7</v>
      </c>
      <c r="C27">
        <f>SUM(C25:C26)</f>
        <v>19</v>
      </c>
    </row>
    <row r="28" spans="2:8" x14ac:dyDescent="0.25">
      <c r="B28" t="s">
        <v>9</v>
      </c>
      <c r="C28">
        <f>COUNTIF(E4:E22, "Yes")</f>
        <v>17</v>
      </c>
    </row>
    <row r="29" spans="2:8" x14ac:dyDescent="0.25">
      <c r="B29" t="s">
        <v>12</v>
      </c>
      <c r="C29">
        <f>COUNTIF(G4:G22, "Yes")</f>
        <v>10</v>
      </c>
    </row>
    <row r="30" spans="2:8" x14ac:dyDescent="0.25">
      <c r="B30" t="s">
        <v>13</v>
      </c>
      <c r="C30">
        <f>COUNTIF(H4:H22, "Yes")</f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5FF1E-A804-4ABC-B62E-DC504E686879}">
  <dimension ref="B2:H30"/>
  <sheetViews>
    <sheetView zoomScale="85" zoomScaleNormal="85" workbookViewId="0">
      <selection activeCell="E5" sqref="E5:E22"/>
    </sheetView>
  </sheetViews>
  <sheetFormatPr defaultRowHeight="15" x14ac:dyDescent="0.25"/>
  <cols>
    <col min="2" max="2" width="42.7109375" customWidth="1"/>
    <col min="3" max="3" width="29.5703125" customWidth="1"/>
    <col min="4" max="4" width="77" customWidth="1"/>
    <col min="5" max="5" width="33.42578125" customWidth="1"/>
    <col min="6" max="6" width="43.42578125" customWidth="1"/>
    <col min="7" max="7" width="27.28515625" customWidth="1"/>
    <col min="8" max="8" width="38.7109375" customWidth="1"/>
    <col min="9" max="9" width="13.42578125" customWidth="1"/>
    <col min="10" max="10" width="22.42578125" customWidth="1"/>
  </cols>
  <sheetData>
    <row r="2" spans="2:8" x14ac:dyDescent="0.25">
      <c r="B2" t="s">
        <v>28</v>
      </c>
    </row>
    <row r="3" spans="2:8" x14ac:dyDescent="0.25">
      <c r="B3" t="s">
        <v>3</v>
      </c>
      <c r="C3" t="s">
        <v>4</v>
      </c>
      <c r="D3" s="1" t="s">
        <v>25</v>
      </c>
      <c r="E3" s="1" t="s">
        <v>29</v>
      </c>
      <c r="F3" s="1" t="s">
        <v>11</v>
      </c>
      <c r="G3" s="1" t="s">
        <v>10</v>
      </c>
      <c r="H3" t="s">
        <v>26</v>
      </c>
    </row>
    <row r="4" spans="2:8" x14ac:dyDescent="0.25">
      <c r="B4" t="s">
        <v>30</v>
      </c>
      <c r="C4" s="1" t="s">
        <v>5</v>
      </c>
      <c r="D4" s="20">
        <v>4.4766000000000001E-4</v>
      </c>
      <c r="E4" s="1" t="str">
        <f>IF($C4 = "Major", IF($D4 &lt; 0.01, "Yes", "No"), IF($D4 &gt;= 0.01, "Yes", "No"))</f>
        <v>Yes</v>
      </c>
      <c r="F4" s="21">
        <v>9.3984604894827906E-2</v>
      </c>
      <c r="G4" s="1" t="str">
        <f>IF($C4="Major", IF($F4 &gt; 0.05, "Yes", "No"), IF($F4 &lt;= 0.05, "Yes", "No"))</f>
        <v>Yes</v>
      </c>
      <c r="H4" s="1" t="str">
        <f t="shared" ref="H4:H22" si="0">IF(OR( (AND(D4 &lt; 0.05, F4 &gt; 0.1)), (AND(D4 &gt;= 0.05, F4 &lt;= 0.1))), "Yes", "No")</f>
        <v>No</v>
      </c>
    </row>
    <row r="5" spans="2:8" x14ac:dyDescent="0.25">
      <c r="B5" t="s">
        <v>31</v>
      </c>
      <c r="C5" s="1" t="s">
        <v>5</v>
      </c>
      <c r="D5" s="20">
        <v>1.2039E-4</v>
      </c>
      <c r="E5" s="1" t="str">
        <f t="shared" ref="E5:E22" si="1">IF($C5 = "Major", IF($D5 &lt; 0.01, "Yes", "No"), IF($D5 &gt;= 0.01, "Yes", "No"))</f>
        <v>Yes</v>
      </c>
      <c r="F5" s="21">
        <v>3.90941260204044E-2</v>
      </c>
      <c r="G5" s="1" t="str">
        <f t="shared" ref="G5:G22" si="2">IF($C5="Major", IF($F5 &gt; 0.05, "Yes", "No"), IF($F5 &lt;= 0.05, "Yes", "No"))</f>
        <v>No</v>
      </c>
      <c r="H5" s="1" t="str">
        <f t="shared" si="0"/>
        <v>No</v>
      </c>
    </row>
    <row r="6" spans="2:8" x14ac:dyDescent="0.25">
      <c r="B6" t="s">
        <v>32</v>
      </c>
      <c r="C6" s="1" t="s">
        <v>5</v>
      </c>
      <c r="D6" s="20">
        <v>9.4777000000000004E-3</v>
      </c>
      <c r="E6" s="1" t="str">
        <f t="shared" si="1"/>
        <v>Yes</v>
      </c>
      <c r="F6" s="21">
        <v>3.9157140173577E-2</v>
      </c>
      <c r="G6" s="1" t="str">
        <f t="shared" si="2"/>
        <v>No</v>
      </c>
      <c r="H6" s="1" t="str">
        <f t="shared" si="0"/>
        <v>No</v>
      </c>
    </row>
    <row r="7" spans="2:8" x14ac:dyDescent="0.25">
      <c r="B7" t="s">
        <v>33</v>
      </c>
      <c r="C7" s="1" t="s">
        <v>5</v>
      </c>
      <c r="D7" s="20">
        <v>6.8495999999999996E-7</v>
      </c>
      <c r="E7" s="1" t="str">
        <f t="shared" si="1"/>
        <v>Yes</v>
      </c>
      <c r="F7" s="21">
        <v>5.1802958907761799E-2</v>
      </c>
      <c r="G7" s="1" t="str">
        <f t="shared" si="2"/>
        <v>Yes</v>
      </c>
      <c r="H7" s="1" t="str">
        <f t="shared" si="0"/>
        <v>No</v>
      </c>
    </row>
    <row r="8" spans="2:8" x14ac:dyDescent="0.25">
      <c r="B8" t="s">
        <v>34</v>
      </c>
      <c r="C8" s="1" t="s">
        <v>6</v>
      </c>
      <c r="D8">
        <v>6.5124000000000001E-2</v>
      </c>
      <c r="E8" s="1" t="str">
        <f t="shared" si="1"/>
        <v>Yes</v>
      </c>
      <c r="F8" s="21">
        <v>5.5230701442523698E-2</v>
      </c>
      <c r="G8" s="1" t="str">
        <f t="shared" si="2"/>
        <v>No</v>
      </c>
      <c r="H8" s="1" t="str">
        <f t="shared" si="0"/>
        <v>Yes</v>
      </c>
    </row>
    <row r="9" spans="2:8" x14ac:dyDescent="0.25">
      <c r="B9" t="s">
        <v>35</v>
      </c>
      <c r="C9" s="1" t="s">
        <v>6</v>
      </c>
      <c r="D9" s="20">
        <v>8.0957999999999996E-4</v>
      </c>
      <c r="E9" s="1" t="str">
        <f t="shared" si="1"/>
        <v>No</v>
      </c>
      <c r="F9" s="21">
        <v>8.3826426822547401E-2</v>
      </c>
      <c r="G9" s="1" t="str">
        <f t="shared" si="2"/>
        <v>No</v>
      </c>
      <c r="H9" s="1" t="str">
        <f t="shared" si="0"/>
        <v>No</v>
      </c>
    </row>
    <row r="10" spans="2:8" x14ac:dyDescent="0.25">
      <c r="B10" t="s">
        <v>36</v>
      </c>
      <c r="C10" s="1" t="s">
        <v>5</v>
      </c>
      <c r="D10" s="20">
        <v>1.5844999999999999E-7</v>
      </c>
      <c r="E10" s="1" t="str">
        <f t="shared" si="1"/>
        <v>Yes</v>
      </c>
      <c r="F10" s="21">
        <v>8.2912543463954394E-2</v>
      </c>
      <c r="G10" s="1" t="str">
        <f t="shared" si="2"/>
        <v>Yes</v>
      </c>
      <c r="H10" s="1" t="str">
        <f t="shared" si="0"/>
        <v>No</v>
      </c>
    </row>
    <row r="11" spans="2:8" x14ac:dyDescent="0.25">
      <c r="B11" t="s">
        <v>37</v>
      </c>
      <c r="C11" s="1" t="s">
        <v>5</v>
      </c>
      <c r="D11" s="20">
        <v>1.9613E-24</v>
      </c>
      <c r="E11" s="1" t="str">
        <f t="shared" si="1"/>
        <v>Yes</v>
      </c>
      <c r="F11" s="21">
        <v>0.24175623501945501</v>
      </c>
      <c r="G11" s="1" t="str">
        <f t="shared" si="2"/>
        <v>Yes</v>
      </c>
      <c r="H11" s="1" t="str">
        <f t="shared" si="0"/>
        <v>Yes</v>
      </c>
    </row>
    <row r="12" spans="2:8" x14ac:dyDescent="0.25">
      <c r="B12" t="s">
        <v>38</v>
      </c>
      <c r="C12" s="1" t="s">
        <v>6</v>
      </c>
      <c r="D12">
        <v>0.91956000000000004</v>
      </c>
      <c r="E12" s="1" t="str">
        <f t="shared" si="1"/>
        <v>Yes</v>
      </c>
      <c r="F12" s="21">
        <v>1.02865120119859E-2</v>
      </c>
      <c r="G12" s="1" t="str">
        <f t="shared" si="2"/>
        <v>Yes</v>
      </c>
      <c r="H12" s="1" t="str">
        <f t="shared" si="0"/>
        <v>Yes</v>
      </c>
    </row>
    <row r="13" spans="2:8" x14ac:dyDescent="0.25">
      <c r="B13" t="s">
        <v>39</v>
      </c>
      <c r="C13" s="1" t="s">
        <v>5</v>
      </c>
      <c r="D13" s="20">
        <v>3.1108000000000001E-5</v>
      </c>
      <c r="E13" s="1" t="str">
        <f t="shared" si="1"/>
        <v>Yes</v>
      </c>
      <c r="F13" s="21">
        <v>1.47296972868937E-2</v>
      </c>
      <c r="G13" s="1" t="str">
        <f t="shared" si="2"/>
        <v>No</v>
      </c>
      <c r="H13" s="1" t="str">
        <f t="shared" si="0"/>
        <v>No</v>
      </c>
    </row>
    <row r="14" spans="2:8" x14ac:dyDescent="0.25">
      <c r="B14" t="s">
        <v>40</v>
      </c>
      <c r="C14" s="1" t="s">
        <v>6</v>
      </c>
      <c r="D14">
        <v>0.42742999999999998</v>
      </c>
      <c r="E14" s="1" t="str">
        <f t="shared" si="1"/>
        <v>Yes</v>
      </c>
      <c r="F14" s="21">
        <v>5.8362673403129402E-3</v>
      </c>
      <c r="G14" s="1" t="str">
        <f t="shared" si="2"/>
        <v>Yes</v>
      </c>
      <c r="H14" s="1" t="str">
        <f t="shared" si="0"/>
        <v>Yes</v>
      </c>
    </row>
    <row r="15" spans="2:8" x14ac:dyDescent="0.25">
      <c r="B15" t="s">
        <v>41</v>
      </c>
      <c r="C15" s="1" t="s">
        <v>6</v>
      </c>
      <c r="D15">
        <v>0.21348</v>
      </c>
      <c r="E15" s="1" t="str">
        <f t="shared" si="1"/>
        <v>Yes</v>
      </c>
      <c r="F15" s="21">
        <v>2.9031860698207602E-3</v>
      </c>
      <c r="G15" s="1" t="str">
        <f t="shared" si="2"/>
        <v>Yes</v>
      </c>
      <c r="H15" s="1" t="str">
        <f t="shared" si="0"/>
        <v>Yes</v>
      </c>
    </row>
    <row r="16" spans="2:8" x14ac:dyDescent="0.25">
      <c r="B16" t="s">
        <v>42</v>
      </c>
      <c r="C16" s="1" t="s">
        <v>5</v>
      </c>
      <c r="D16">
        <v>3.2316999999999999E-2</v>
      </c>
      <c r="E16" s="1" t="str">
        <f t="shared" si="1"/>
        <v>No</v>
      </c>
      <c r="F16" s="21">
        <v>4.5976387108636703E-3</v>
      </c>
      <c r="G16" s="1" t="str">
        <f t="shared" si="2"/>
        <v>No</v>
      </c>
      <c r="H16" s="1" t="str">
        <f t="shared" si="0"/>
        <v>No</v>
      </c>
    </row>
    <row r="17" spans="2:8" x14ac:dyDescent="0.25">
      <c r="B17" t="s">
        <v>43</v>
      </c>
      <c r="C17" s="1" t="s">
        <v>6</v>
      </c>
      <c r="D17">
        <v>0.33599000000000001</v>
      </c>
      <c r="E17" s="1" t="str">
        <f t="shared" si="1"/>
        <v>Yes</v>
      </c>
      <c r="F17" s="21">
        <v>2.51822104035666E-2</v>
      </c>
      <c r="G17" s="1" t="str">
        <f t="shared" si="2"/>
        <v>Yes</v>
      </c>
      <c r="H17" s="1" t="str">
        <f t="shared" si="0"/>
        <v>Yes</v>
      </c>
    </row>
    <row r="18" spans="2:8" x14ac:dyDescent="0.25">
      <c r="B18" t="s">
        <v>44</v>
      </c>
      <c r="C18" s="1" t="s">
        <v>5</v>
      </c>
      <c r="D18" s="20">
        <v>7.0868E-5</v>
      </c>
      <c r="E18" s="1" t="str">
        <f t="shared" si="1"/>
        <v>Yes</v>
      </c>
      <c r="F18" s="21">
        <v>2.4219249081870401E-2</v>
      </c>
      <c r="G18" s="1" t="str">
        <f t="shared" si="2"/>
        <v>No</v>
      </c>
      <c r="H18" s="1" t="str">
        <f t="shared" si="0"/>
        <v>No</v>
      </c>
    </row>
    <row r="19" spans="2:8" x14ac:dyDescent="0.25">
      <c r="B19" t="s">
        <v>45</v>
      </c>
      <c r="C19" s="1" t="s">
        <v>6</v>
      </c>
      <c r="D19">
        <v>0.73111000000000004</v>
      </c>
      <c r="E19" s="1" t="str">
        <f t="shared" si="1"/>
        <v>Yes</v>
      </c>
      <c r="F19" s="21">
        <v>4.6495231389214403E-3</v>
      </c>
      <c r="G19" s="1" t="str">
        <f t="shared" si="2"/>
        <v>Yes</v>
      </c>
      <c r="H19" s="1" t="str">
        <f t="shared" si="0"/>
        <v>Yes</v>
      </c>
    </row>
    <row r="20" spans="2:8" x14ac:dyDescent="0.25">
      <c r="B20" t="s">
        <v>46</v>
      </c>
      <c r="C20" s="1" t="s">
        <v>5</v>
      </c>
      <c r="D20" s="20">
        <v>1.1064999999999999E-6</v>
      </c>
      <c r="E20" s="1" t="str">
        <f t="shared" si="1"/>
        <v>Yes</v>
      </c>
      <c r="F20" s="21">
        <v>8.9759149680617906E-2</v>
      </c>
      <c r="G20" s="1" t="str">
        <f t="shared" si="2"/>
        <v>Yes</v>
      </c>
      <c r="H20" s="1" t="str">
        <f t="shared" si="0"/>
        <v>No</v>
      </c>
    </row>
    <row r="21" spans="2:8" x14ac:dyDescent="0.25">
      <c r="B21" t="s">
        <v>47</v>
      </c>
      <c r="C21" s="1" t="s">
        <v>6</v>
      </c>
      <c r="D21">
        <v>0.12676000000000001</v>
      </c>
      <c r="E21" s="1" t="str">
        <f t="shared" si="1"/>
        <v>Yes</v>
      </c>
      <c r="F21" s="21">
        <v>5.28360538687071E-2</v>
      </c>
      <c r="G21" s="1" t="str">
        <f t="shared" si="2"/>
        <v>No</v>
      </c>
      <c r="H21" s="1" t="str">
        <f t="shared" si="0"/>
        <v>Yes</v>
      </c>
    </row>
    <row r="22" spans="2:8" x14ac:dyDescent="0.25">
      <c r="B22" t="s">
        <v>48</v>
      </c>
      <c r="C22" s="1" t="s">
        <v>6</v>
      </c>
      <c r="D22" s="20">
        <v>8.3077000000000004E-5</v>
      </c>
      <c r="E22" s="1" t="str">
        <f t="shared" si="1"/>
        <v>No</v>
      </c>
      <c r="F22" s="21">
        <v>7.7235775661386799E-2</v>
      </c>
      <c r="G22" s="1" t="str">
        <f t="shared" si="2"/>
        <v>No</v>
      </c>
      <c r="H22" s="1" t="str">
        <f t="shared" si="0"/>
        <v>No</v>
      </c>
    </row>
    <row r="23" spans="2:8" x14ac:dyDescent="0.25">
      <c r="F23" s="21"/>
    </row>
    <row r="25" spans="2:8" x14ac:dyDescent="0.25">
      <c r="B25" t="s">
        <v>1</v>
      </c>
      <c r="C25">
        <f>COUNTIF($C4:$C22,"Major")</f>
        <v>10</v>
      </c>
    </row>
    <row r="26" spans="2:8" x14ac:dyDescent="0.25">
      <c r="B26" t="s">
        <v>2</v>
      </c>
      <c r="C26">
        <f>COUNTIF($C4:$C22,"Minor")</f>
        <v>9</v>
      </c>
    </row>
    <row r="27" spans="2:8" x14ac:dyDescent="0.25">
      <c r="B27" t="s">
        <v>7</v>
      </c>
      <c r="C27">
        <f>SUM(C25:C26)</f>
        <v>19</v>
      </c>
    </row>
    <row r="28" spans="2:8" x14ac:dyDescent="0.25">
      <c r="B28" t="s">
        <v>9</v>
      </c>
      <c r="C28">
        <f>COUNTIF(E4:E22, "Yes")</f>
        <v>16</v>
      </c>
    </row>
    <row r="29" spans="2:8" x14ac:dyDescent="0.25">
      <c r="B29" t="s">
        <v>12</v>
      </c>
      <c r="C29">
        <f>COUNTIF(G4:G22, "Yes")</f>
        <v>10</v>
      </c>
    </row>
    <row r="30" spans="2:8" x14ac:dyDescent="0.25">
      <c r="B30" t="s">
        <v>13</v>
      </c>
      <c r="C30">
        <f>COUNTIF(H4:H22, "Yes")</f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22909-19C2-4781-AC4B-72BDF930224B}">
  <dimension ref="B2:H30"/>
  <sheetViews>
    <sheetView topLeftCell="C4" zoomScale="85" zoomScaleNormal="85" workbookViewId="0">
      <selection activeCell="D23" sqref="D23"/>
    </sheetView>
  </sheetViews>
  <sheetFormatPr defaultRowHeight="15" x14ac:dyDescent="0.25"/>
  <cols>
    <col min="2" max="2" width="42.7109375" customWidth="1"/>
    <col min="3" max="3" width="29.5703125" customWidth="1"/>
    <col min="4" max="4" width="77" customWidth="1"/>
    <col min="5" max="5" width="33.42578125" customWidth="1"/>
    <col min="6" max="6" width="43.42578125" customWidth="1"/>
    <col min="7" max="7" width="27.28515625" customWidth="1"/>
    <col min="8" max="8" width="38.7109375" customWidth="1"/>
    <col min="9" max="9" width="13.42578125" customWidth="1"/>
    <col min="10" max="10" width="22.42578125" customWidth="1"/>
  </cols>
  <sheetData>
    <row r="2" spans="2:8" x14ac:dyDescent="0.25">
      <c r="B2" t="s">
        <v>28</v>
      </c>
    </row>
    <row r="3" spans="2:8" x14ac:dyDescent="0.25">
      <c r="B3" t="s">
        <v>3</v>
      </c>
      <c r="C3" t="s">
        <v>4</v>
      </c>
      <c r="D3" s="1" t="s">
        <v>25</v>
      </c>
      <c r="E3" s="1" t="s">
        <v>29</v>
      </c>
      <c r="F3" s="1" t="s">
        <v>11</v>
      </c>
      <c r="G3" s="1" t="s">
        <v>10</v>
      </c>
      <c r="H3" t="s">
        <v>26</v>
      </c>
    </row>
    <row r="4" spans="2:8" x14ac:dyDescent="0.25">
      <c r="B4" t="s">
        <v>30</v>
      </c>
      <c r="C4" s="1" t="s">
        <v>5</v>
      </c>
      <c r="D4" s="20">
        <v>4.4766000000000001E-4</v>
      </c>
      <c r="E4" s="1" t="str">
        <f>IF($C4 = "Major", IF($D4 &lt; 0.01, "Yes", "No"), IF($D4 &gt;= 0.01, "Yes", "No"))</f>
        <v>Yes</v>
      </c>
      <c r="F4" s="21">
        <v>9.3984604894827906E-2</v>
      </c>
      <c r="G4" s="1" t="str">
        <f t="shared" ref="G4:G22" si="0">IF($C4="Major", IF($F4 &gt; 0.1, "Yes", "No"), IF($F4 &lt;= 0.1, "Yes", "No"))</f>
        <v>No</v>
      </c>
      <c r="H4" s="1" t="str">
        <f t="shared" ref="H4:H22" si="1">IF(OR( (AND(D4 &lt; 0.05, F4 &gt; 0.1)), (AND(D4 &gt;= 0.05, F4 &lt;= 0.1))), "Yes", "No")</f>
        <v>No</v>
      </c>
    </row>
    <row r="5" spans="2:8" x14ac:dyDescent="0.25">
      <c r="B5" t="s">
        <v>31</v>
      </c>
      <c r="C5" s="1" t="s">
        <v>5</v>
      </c>
      <c r="D5" s="20">
        <v>1.2039E-4</v>
      </c>
      <c r="E5" s="1" t="str">
        <f t="shared" ref="E5:E22" si="2">IF($C5 = "Major", IF($D5 &lt; 0.01, "Yes", "No"), IF($D5 &gt;= 0.01, "Yes", "No"))</f>
        <v>Yes</v>
      </c>
      <c r="F5" s="21">
        <v>3.90941260204044E-2</v>
      </c>
      <c r="G5" s="1" t="str">
        <f t="shared" si="0"/>
        <v>No</v>
      </c>
      <c r="H5" s="1" t="str">
        <f t="shared" si="1"/>
        <v>No</v>
      </c>
    </row>
    <row r="6" spans="2:8" x14ac:dyDescent="0.25">
      <c r="B6" t="s">
        <v>32</v>
      </c>
      <c r="C6" s="1" t="s">
        <v>5</v>
      </c>
      <c r="D6" s="20">
        <v>9.4777000000000004E-3</v>
      </c>
      <c r="E6" s="1" t="str">
        <f t="shared" si="2"/>
        <v>Yes</v>
      </c>
      <c r="F6" s="21">
        <v>3.9157140173577E-2</v>
      </c>
      <c r="G6" s="1" t="str">
        <f t="shared" si="0"/>
        <v>No</v>
      </c>
      <c r="H6" s="1" t="str">
        <f t="shared" si="1"/>
        <v>No</v>
      </c>
    </row>
    <row r="7" spans="2:8" x14ac:dyDescent="0.25">
      <c r="B7" t="s">
        <v>33</v>
      </c>
      <c r="C7" s="1" t="s">
        <v>5</v>
      </c>
      <c r="D7" s="20">
        <v>6.8495999999999996E-7</v>
      </c>
      <c r="E7" s="1" t="str">
        <f t="shared" si="2"/>
        <v>Yes</v>
      </c>
      <c r="F7" s="21">
        <v>5.1802958907761799E-2</v>
      </c>
      <c r="G7" s="1" t="str">
        <f t="shared" si="0"/>
        <v>No</v>
      </c>
      <c r="H7" s="1" t="str">
        <f t="shared" si="1"/>
        <v>No</v>
      </c>
    </row>
    <row r="8" spans="2:8" x14ac:dyDescent="0.25">
      <c r="B8" t="s">
        <v>34</v>
      </c>
      <c r="C8" s="1" t="s">
        <v>6</v>
      </c>
      <c r="D8">
        <v>6.5124000000000001E-2</v>
      </c>
      <c r="E8" s="1" t="str">
        <f t="shared" si="2"/>
        <v>Yes</v>
      </c>
      <c r="F8" s="21">
        <v>5.5230701442523698E-2</v>
      </c>
      <c r="G8" s="1" t="str">
        <f t="shared" si="0"/>
        <v>Yes</v>
      </c>
      <c r="H8" s="1" t="str">
        <f t="shared" si="1"/>
        <v>Yes</v>
      </c>
    </row>
    <row r="9" spans="2:8" x14ac:dyDescent="0.25">
      <c r="B9" t="s">
        <v>35</v>
      </c>
      <c r="C9" s="1" t="s">
        <v>6</v>
      </c>
      <c r="D9" s="20">
        <v>8.0957999999999996E-4</v>
      </c>
      <c r="E9" s="1" t="str">
        <f t="shared" si="2"/>
        <v>No</v>
      </c>
      <c r="F9" s="21">
        <v>8.3826426822547401E-2</v>
      </c>
      <c r="G9" s="1" t="str">
        <f t="shared" si="0"/>
        <v>Yes</v>
      </c>
      <c r="H9" s="1" t="str">
        <f t="shared" si="1"/>
        <v>No</v>
      </c>
    </row>
    <row r="10" spans="2:8" x14ac:dyDescent="0.25">
      <c r="B10" t="s">
        <v>36</v>
      </c>
      <c r="C10" s="1" t="s">
        <v>5</v>
      </c>
      <c r="D10" s="20">
        <v>1.5844999999999999E-7</v>
      </c>
      <c r="E10" s="1" t="str">
        <f t="shared" si="2"/>
        <v>Yes</v>
      </c>
      <c r="F10" s="21">
        <v>8.2912543463954394E-2</v>
      </c>
      <c r="G10" s="1" t="str">
        <f t="shared" si="0"/>
        <v>No</v>
      </c>
      <c r="H10" s="1" t="str">
        <f t="shared" si="1"/>
        <v>No</v>
      </c>
    </row>
    <row r="11" spans="2:8" x14ac:dyDescent="0.25">
      <c r="B11" t="s">
        <v>37</v>
      </c>
      <c r="C11" s="1" t="s">
        <v>5</v>
      </c>
      <c r="D11" s="20">
        <v>1.9613E-24</v>
      </c>
      <c r="E11" s="1" t="str">
        <f t="shared" si="2"/>
        <v>Yes</v>
      </c>
      <c r="F11" s="21">
        <v>0.24175623501945501</v>
      </c>
      <c r="G11" s="1" t="str">
        <f t="shared" si="0"/>
        <v>Yes</v>
      </c>
      <c r="H11" s="1" t="str">
        <f t="shared" si="1"/>
        <v>Yes</v>
      </c>
    </row>
    <row r="12" spans="2:8" x14ac:dyDescent="0.25">
      <c r="B12" t="s">
        <v>38</v>
      </c>
      <c r="C12" s="1" t="s">
        <v>6</v>
      </c>
      <c r="D12">
        <v>0.91956000000000004</v>
      </c>
      <c r="E12" s="1" t="str">
        <f t="shared" si="2"/>
        <v>Yes</v>
      </c>
      <c r="F12" s="21">
        <v>1.02865120119859E-2</v>
      </c>
      <c r="G12" s="1" t="str">
        <f t="shared" si="0"/>
        <v>Yes</v>
      </c>
      <c r="H12" s="1" t="str">
        <f t="shared" si="1"/>
        <v>Yes</v>
      </c>
    </row>
    <row r="13" spans="2:8" x14ac:dyDescent="0.25">
      <c r="B13" t="s">
        <v>39</v>
      </c>
      <c r="C13" s="1" t="s">
        <v>5</v>
      </c>
      <c r="D13" s="20">
        <v>3.1108000000000001E-5</v>
      </c>
      <c r="E13" s="1" t="str">
        <f t="shared" si="2"/>
        <v>Yes</v>
      </c>
      <c r="F13" s="21">
        <v>1.47296972868937E-2</v>
      </c>
      <c r="G13" s="1" t="str">
        <f t="shared" si="0"/>
        <v>No</v>
      </c>
      <c r="H13" s="1" t="str">
        <f t="shared" si="1"/>
        <v>No</v>
      </c>
    </row>
    <row r="14" spans="2:8" x14ac:dyDescent="0.25">
      <c r="B14" t="s">
        <v>40</v>
      </c>
      <c r="C14" s="1" t="s">
        <v>6</v>
      </c>
      <c r="D14">
        <v>0.42742999999999998</v>
      </c>
      <c r="E14" s="1" t="str">
        <f t="shared" si="2"/>
        <v>Yes</v>
      </c>
      <c r="F14" s="21">
        <v>5.8362673403129402E-3</v>
      </c>
      <c r="G14" s="1" t="str">
        <f t="shared" si="0"/>
        <v>Yes</v>
      </c>
      <c r="H14" s="1" t="str">
        <f t="shared" si="1"/>
        <v>Yes</v>
      </c>
    </row>
    <row r="15" spans="2:8" x14ac:dyDescent="0.25">
      <c r="B15" t="s">
        <v>41</v>
      </c>
      <c r="C15" s="1" t="s">
        <v>6</v>
      </c>
      <c r="D15">
        <v>0.21348</v>
      </c>
      <c r="E15" s="1" t="str">
        <f t="shared" si="2"/>
        <v>Yes</v>
      </c>
      <c r="F15" s="21">
        <v>2.9031860698207602E-3</v>
      </c>
      <c r="G15" s="1" t="str">
        <f t="shared" si="0"/>
        <v>Yes</v>
      </c>
      <c r="H15" s="1" t="str">
        <f t="shared" si="1"/>
        <v>Yes</v>
      </c>
    </row>
    <row r="16" spans="2:8" x14ac:dyDescent="0.25">
      <c r="B16" t="s">
        <v>42</v>
      </c>
      <c r="C16" s="1" t="s">
        <v>5</v>
      </c>
      <c r="D16">
        <v>3.2316999999999999E-2</v>
      </c>
      <c r="E16" s="1" t="str">
        <f t="shared" si="2"/>
        <v>No</v>
      </c>
      <c r="F16" s="21">
        <v>4.5976387108636703E-3</v>
      </c>
      <c r="G16" s="1" t="str">
        <f t="shared" si="0"/>
        <v>No</v>
      </c>
      <c r="H16" s="1" t="str">
        <f t="shared" si="1"/>
        <v>No</v>
      </c>
    </row>
    <row r="17" spans="2:8" x14ac:dyDescent="0.25">
      <c r="B17" t="s">
        <v>43</v>
      </c>
      <c r="C17" s="1" t="s">
        <v>6</v>
      </c>
      <c r="D17">
        <v>0.33599000000000001</v>
      </c>
      <c r="E17" s="1" t="str">
        <f t="shared" si="2"/>
        <v>Yes</v>
      </c>
      <c r="F17" s="21">
        <v>2.51822104035666E-2</v>
      </c>
      <c r="G17" s="1" t="str">
        <f t="shared" si="0"/>
        <v>Yes</v>
      </c>
      <c r="H17" s="1" t="str">
        <f t="shared" si="1"/>
        <v>Yes</v>
      </c>
    </row>
    <row r="18" spans="2:8" x14ac:dyDescent="0.25">
      <c r="B18" t="s">
        <v>44</v>
      </c>
      <c r="C18" s="1" t="s">
        <v>5</v>
      </c>
      <c r="D18" s="20">
        <v>7.0868E-5</v>
      </c>
      <c r="E18" s="1" t="str">
        <f t="shared" si="2"/>
        <v>Yes</v>
      </c>
      <c r="F18" s="21">
        <v>2.4219249081870401E-2</v>
      </c>
      <c r="G18" s="1" t="str">
        <f t="shared" si="0"/>
        <v>No</v>
      </c>
      <c r="H18" s="1" t="str">
        <f t="shared" si="1"/>
        <v>No</v>
      </c>
    </row>
    <row r="19" spans="2:8" x14ac:dyDescent="0.25">
      <c r="B19" t="s">
        <v>45</v>
      </c>
      <c r="C19" s="1" t="s">
        <v>6</v>
      </c>
      <c r="D19">
        <v>0.73111000000000004</v>
      </c>
      <c r="E19" s="1" t="str">
        <f t="shared" si="2"/>
        <v>Yes</v>
      </c>
      <c r="F19" s="21">
        <v>4.6495231389214403E-3</v>
      </c>
      <c r="G19" s="1" t="str">
        <f t="shared" si="0"/>
        <v>Yes</v>
      </c>
      <c r="H19" s="1" t="str">
        <f t="shared" si="1"/>
        <v>Yes</v>
      </c>
    </row>
    <row r="20" spans="2:8" x14ac:dyDescent="0.25">
      <c r="B20" t="s">
        <v>46</v>
      </c>
      <c r="C20" s="1" t="s">
        <v>5</v>
      </c>
      <c r="D20" s="20">
        <v>1.1064999999999999E-6</v>
      </c>
      <c r="E20" s="1" t="str">
        <f t="shared" si="2"/>
        <v>Yes</v>
      </c>
      <c r="F20" s="21">
        <v>8.9759149680617906E-2</v>
      </c>
      <c r="G20" s="1" t="str">
        <f t="shared" si="0"/>
        <v>No</v>
      </c>
      <c r="H20" s="1" t="str">
        <f t="shared" si="1"/>
        <v>No</v>
      </c>
    </row>
    <row r="21" spans="2:8" x14ac:dyDescent="0.25">
      <c r="B21" t="s">
        <v>47</v>
      </c>
      <c r="C21" s="1" t="s">
        <v>6</v>
      </c>
      <c r="D21">
        <v>0.12676000000000001</v>
      </c>
      <c r="E21" s="1" t="str">
        <f t="shared" si="2"/>
        <v>Yes</v>
      </c>
      <c r="F21" s="21">
        <v>5.28360538687071E-2</v>
      </c>
      <c r="G21" s="1" t="str">
        <f t="shared" si="0"/>
        <v>Yes</v>
      </c>
      <c r="H21" s="1" t="str">
        <f t="shared" si="1"/>
        <v>Yes</v>
      </c>
    </row>
    <row r="22" spans="2:8" x14ac:dyDescent="0.25">
      <c r="B22" t="s">
        <v>48</v>
      </c>
      <c r="C22" s="1" t="s">
        <v>6</v>
      </c>
      <c r="D22" s="20">
        <v>8.3077000000000004E-5</v>
      </c>
      <c r="E22" s="1" t="str">
        <f t="shared" si="2"/>
        <v>No</v>
      </c>
      <c r="F22" s="21">
        <v>7.7235775661386799E-2</v>
      </c>
      <c r="G22" s="1" t="str">
        <f t="shared" si="0"/>
        <v>Yes</v>
      </c>
      <c r="H22" s="1" t="str">
        <f t="shared" si="1"/>
        <v>No</v>
      </c>
    </row>
    <row r="23" spans="2:8" x14ac:dyDescent="0.25">
      <c r="F23" s="21"/>
    </row>
    <row r="25" spans="2:8" x14ac:dyDescent="0.25">
      <c r="B25" t="s">
        <v>1</v>
      </c>
      <c r="C25">
        <f>COUNTIF($C4:$C22,"Major")</f>
        <v>10</v>
      </c>
    </row>
    <row r="26" spans="2:8" x14ac:dyDescent="0.25">
      <c r="B26" t="s">
        <v>2</v>
      </c>
      <c r="C26">
        <f>COUNTIF($C4:$C22,"Minor")</f>
        <v>9</v>
      </c>
    </row>
    <row r="27" spans="2:8" x14ac:dyDescent="0.25">
      <c r="B27" t="s">
        <v>7</v>
      </c>
      <c r="C27">
        <f>SUM(C25:C26)</f>
        <v>19</v>
      </c>
    </row>
    <row r="28" spans="2:8" x14ac:dyDescent="0.25">
      <c r="B28" t="s">
        <v>9</v>
      </c>
      <c r="C28">
        <f>COUNTIF(E4:E22, "Yes")</f>
        <v>16</v>
      </c>
    </row>
    <row r="29" spans="2:8" x14ac:dyDescent="0.25">
      <c r="B29" t="s">
        <v>12</v>
      </c>
      <c r="C29">
        <f>COUNTIF(G4:G22, "Yes")</f>
        <v>10</v>
      </c>
    </row>
    <row r="30" spans="2:8" x14ac:dyDescent="0.25">
      <c r="B30" t="s">
        <v>13</v>
      </c>
      <c r="C30">
        <f>COUNTIF(H4:H22, "Yes")</f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A9FED-402F-439B-9BF6-F9C6FAB98944}">
  <dimension ref="B2:H30"/>
  <sheetViews>
    <sheetView topLeftCell="C4" zoomScale="85" zoomScaleNormal="85" workbookViewId="0">
      <selection activeCell="G4" sqref="G4:G22"/>
    </sheetView>
  </sheetViews>
  <sheetFormatPr defaultRowHeight="15" x14ac:dyDescent="0.25"/>
  <cols>
    <col min="2" max="2" width="42.7109375" customWidth="1"/>
    <col min="3" max="3" width="29.5703125" customWidth="1"/>
    <col min="4" max="4" width="77" customWidth="1"/>
    <col min="5" max="5" width="33.42578125" customWidth="1"/>
    <col min="6" max="6" width="43.42578125" customWidth="1"/>
    <col min="7" max="7" width="27.28515625" customWidth="1"/>
    <col min="8" max="8" width="38.7109375" customWidth="1"/>
    <col min="9" max="9" width="13.42578125" customWidth="1"/>
    <col min="10" max="10" width="22.42578125" customWidth="1"/>
  </cols>
  <sheetData>
    <row r="2" spans="2:8" x14ac:dyDescent="0.25">
      <c r="B2" t="s">
        <v>28</v>
      </c>
    </row>
    <row r="3" spans="2:8" x14ac:dyDescent="0.25">
      <c r="B3" t="s">
        <v>3</v>
      </c>
      <c r="C3" t="s">
        <v>4</v>
      </c>
      <c r="D3" s="1" t="s">
        <v>25</v>
      </c>
      <c r="E3" s="1" t="s">
        <v>29</v>
      </c>
      <c r="F3" s="1" t="s">
        <v>11</v>
      </c>
      <c r="G3" s="1" t="s">
        <v>10</v>
      </c>
      <c r="H3" t="s">
        <v>26</v>
      </c>
    </row>
    <row r="4" spans="2:8" x14ac:dyDescent="0.25">
      <c r="B4" t="s">
        <v>30</v>
      </c>
      <c r="C4" s="1" t="s">
        <v>5</v>
      </c>
      <c r="D4" s="20">
        <v>4.4766000000000001E-4</v>
      </c>
      <c r="E4" s="1" t="str">
        <f>IF($C4 = "Major", IF($D4 &lt; 0.01, "Yes", "No"), IF($D4 &gt;= 0.01, "Yes", "No"))</f>
        <v>Yes</v>
      </c>
      <c r="F4" s="21">
        <v>9.3984604894827906E-2</v>
      </c>
      <c r="G4" s="1" t="str">
        <f>IF($C4="Major", IF($F4 &gt; 0.15, "Yes", "No"), IF($F4 &lt;= 0.15, "Yes", "No"))</f>
        <v>No</v>
      </c>
      <c r="H4" s="1" t="str">
        <f t="shared" ref="H4:H22" si="0">IF(OR( (AND(D4 &lt; 0.05, F4 &gt; 0.1)), (AND(D4 &gt;= 0.05, F4 &lt;= 0.1))), "Yes", "No")</f>
        <v>No</v>
      </c>
    </row>
    <row r="5" spans="2:8" x14ac:dyDescent="0.25">
      <c r="B5" t="s">
        <v>31</v>
      </c>
      <c r="C5" s="1" t="s">
        <v>5</v>
      </c>
      <c r="D5" s="20">
        <v>1.2039E-4</v>
      </c>
      <c r="E5" s="1" t="str">
        <f t="shared" ref="E5:E22" si="1">IF($C5 = "Major", IF($D5 &lt; 0.01, "Yes", "No"), IF($D5 &gt;= 0.01, "Yes", "No"))</f>
        <v>Yes</v>
      </c>
      <c r="F5" s="21">
        <v>3.90941260204044E-2</v>
      </c>
      <c r="G5" s="1" t="str">
        <f t="shared" ref="G5:G22" si="2">IF($C5="Major", IF($F5 &gt; 0.15, "Yes", "No"), IF($F5 &lt;= 0.15, "Yes", "No"))</f>
        <v>No</v>
      </c>
      <c r="H5" s="1" t="str">
        <f t="shared" si="0"/>
        <v>No</v>
      </c>
    </row>
    <row r="6" spans="2:8" x14ac:dyDescent="0.25">
      <c r="B6" t="s">
        <v>32</v>
      </c>
      <c r="C6" s="1" t="s">
        <v>5</v>
      </c>
      <c r="D6" s="20">
        <v>9.4777000000000004E-3</v>
      </c>
      <c r="E6" s="1" t="str">
        <f t="shared" si="1"/>
        <v>Yes</v>
      </c>
      <c r="F6" s="21">
        <v>3.9157140173577E-2</v>
      </c>
      <c r="G6" s="1" t="str">
        <f t="shared" si="2"/>
        <v>No</v>
      </c>
      <c r="H6" s="1" t="str">
        <f t="shared" si="0"/>
        <v>No</v>
      </c>
    </row>
    <row r="7" spans="2:8" x14ac:dyDescent="0.25">
      <c r="B7" t="s">
        <v>33</v>
      </c>
      <c r="C7" s="1" t="s">
        <v>5</v>
      </c>
      <c r="D7" s="20">
        <v>6.8495999999999996E-7</v>
      </c>
      <c r="E7" s="1" t="str">
        <f t="shared" si="1"/>
        <v>Yes</v>
      </c>
      <c r="F7" s="21">
        <v>5.1802958907761799E-2</v>
      </c>
      <c r="G7" s="1" t="str">
        <f t="shared" si="2"/>
        <v>No</v>
      </c>
      <c r="H7" s="1" t="str">
        <f t="shared" si="0"/>
        <v>No</v>
      </c>
    </row>
    <row r="8" spans="2:8" x14ac:dyDescent="0.25">
      <c r="B8" t="s">
        <v>34</v>
      </c>
      <c r="C8" s="1" t="s">
        <v>6</v>
      </c>
      <c r="D8">
        <v>6.5124000000000001E-2</v>
      </c>
      <c r="E8" s="1" t="str">
        <f t="shared" si="1"/>
        <v>Yes</v>
      </c>
      <c r="F8" s="21">
        <v>5.5230701442523698E-2</v>
      </c>
      <c r="G8" s="1" t="str">
        <f t="shared" si="2"/>
        <v>Yes</v>
      </c>
      <c r="H8" s="1" t="str">
        <f t="shared" si="0"/>
        <v>Yes</v>
      </c>
    </row>
    <row r="9" spans="2:8" x14ac:dyDescent="0.25">
      <c r="B9" t="s">
        <v>35</v>
      </c>
      <c r="C9" s="1" t="s">
        <v>6</v>
      </c>
      <c r="D9" s="20">
        <v>8.0957999999999996E-4</v>
      </c>
      <c r="E9" s="1" t="str">
        <f t="shared" si="1"/>
        <v>No</v>
      </c>
      <c r="F9" s="21">
        <v>8.3826426822547401E-2</v>
      </c>
      <c r="G9" s="1" t="str">
        <f t="shared" si="2"/>
        <v>Yes</v>
      </c>
      <c r="H9" s="1" t="str">
        <f t="shared" si="0"/>
        <v>No</v>
      </c>
    </row>
    <row r="10" spans="2:8" x14ac:dyDescent="0.25">
      <c r="B10" t="s">
        <v>36</v>
      </c>
      <c r="C10" s="1" t="s">
        <v>5</v>
      </c>
      <c r="D10" s="20">
        <v>1.5844999999999999E-7</v>
      </c>
      <c r="E10" s="1" t="str">
        <f t="shared" si="1"/>
        <v>Yes</v>
      </c>
      <c r="F10" s="21">
        <v>8.2912543463954394E-2</v>
      </c>
      <c r="G10" s="1" t="str">
        <f t="shared" si="2"/>
        <v>No</v>
      </c>
      <c r="H10" s="1" t="str">
        <f t="shared" si="0"/>
        <v>No</v>
      </c>
    </row>
    <row r="11" spans="2:8" x14ac:dyDescent="0.25">
      <c r="B11" t="s">
        <v>37</v>
      </c>
      <c r="C11" s="1" t="s">
        <v>5</v>
      </c>
      <c r="D11" s="20">
        <v>1.9613E-24</v>
      </c>
      <c r="E11" s="1" t="str">
        <f t="shared" si="1"/>
        <v>Yes</v>
      </c>
      <c r="F11" s="21">
        <v>0.24175623501945501</v>
      </c>
      <c r="G11" s="1" t="str">
        <f t="shared" si="2"/>
        <v>Yes</v>
      </c>
      <c r="H11" s="1" t="str">
        <f t="shared" si="0"/>
        <v>Yes</v>
      </c>
    </row>
    <row r="12" spans="2:8" x14ac:dyDescent="0.25">
      <c r="B12" t="s">
        <v>38</v>
      </c>
      <c r="C12" s="1" t="s">
        <v>6</v>
      </c>
      <c r="D12">
        <v>0.91956000000000004</v>
      </c>
      <c r="E12" s="1" t="str">
        <f t="shared" si="1"/>
        <v>Yes</v>
      </c>
      <c r="F12" s="21">
        <v>1.02865120119859E-2</v>
      </c>
      <c r="G12" s="1" t="str">
        <f t="shared" si="2"/>
        <v>Yes</v>
      </c>
      <c r="H12" s="1" t="str">
        <f t="shared" si="0"/>
        <v>Yes</v>
      </c>
    </row>
    <row r="13" spans="2:8" x14ac:dyDescent="0.25">
      <c r="B13" t="s">
        <v>39</v>
      </c>
      <c r="C13" s="1" t="s">
        <v>5</v>
      </c>
      <c r="D13" s="20">
        <v>3.1108000000000001E-5</v>
      </c>
      <c r="E13" s="1" t="str">
        <f t="shared" si="1"/>
        <v>Yes</v>
      </c>
      <c r="F13" s="21">
        <v>1.47296972868937E-2</v>
      </c>
      <c r="G13" s="1" t="str">
        <f t="shared" si="2"/>
        <v>No</v>
      </c>
      <c r="H13" s="1" t="str">
        <f t="shared" si="0"/>
        <v>No</v>
      </c>
    </row>
    <row r="14" spans="2:8" x14ac:dyDescent="0.25">
      <c r="B14" t="s">
        <v>40</v>
      </c>
      <c r="C14" s="1" t="s">
        <v>6</v>
      </c>
      <c r="D14">
        <v>0.42742999999999998</v>
      </c>
      <c r="E14" s="1" t="str">
        <f t="shared" si="1"/>
        <v>Yes</v>
      </c>
      <c r="F14" s="21">
        <v>5.8362673403129402E-3</v>
      </c>
      <c r="G14" s="1" t="str">
        <f t="shared" si="2"/>
        <v>Yes</v>
      </c>
      <c r="H14" s="1" t="str">
        <f t="shared" si="0"/>
        <v>Yes</v>
      </c>
    </row>
    <row r="15" spans="2:8" x14ac:dyDescent="0.25">
      <c r="B15" t="s">
        <v>41</v>
      </c>
      <c r="C15" s="1" t="s">
        <v>6</v>
      </c>
      <c r="D15">
        <v>0.21348</v>
      </c>
      <c r="E15" s="1" t="str">
        <f t="shared" si="1"/>
        <v>Yes</v>
      </c>
      <c r="F15" s="21">
        <v>2.9031860698207602E-3</v>
      </c>
      <c r="G15" s="1" t="str">
        <f t="shared" si="2"/>
        <v>Yes</v>
      </c>
      <c r="H15" s="1" t="str">
        <f t="shared" si="0"/>
        <v>Yes</v>
      </c>
    </row>
    <row r="16" spans="2:8" x14ac:dyDescent="0.25">
      <c r="B16" t="s">
        <v>42</v>
      </c>
      <c r="C16" s="1" t="s">
        <v>5</v>
      </c>
      <c r="D16">
        <v>3.2316999999999999E-2</v>
      </c>
      <c r="E16" s="1" t="str">
        <f t="shared" si="1"/>
        <v>No</v>
      </c>
      <c r="F16" s="21">
        <v>4.5976387108636703E-3</v>
      </c>
      <c r="G16" s="1" t="str">
        <f t="shared" si="2"/>
        <v>No</v>
      </c>
      <c r="H16" s="1" t="str">
        <f t="shared" si="0"/>
        <v>No</v>
      </c>
    </row>
    <row r="17" spans="2:8" x14ac:dyDescent="0.25">
      <c r="B17" t="s">
        <v>43</v>
      </c>
      <c r="C17" s="1" t="s">
        <v>6</v>
      </c>
      <c r="D17">
        <v>0.33599000000000001</v>
      </c>
      <c r="E17" s="1" t="str">
        <f t="shared" si="1"/>
        <v>Yes</v>
      </c>
      <c r="F17" s="21">
        <v>2.51822104035666E-2</v>
      </c>
      <c r="G17" s="1" t="str">
        <f t="shared" si="2"/>
        <v>Yes</v>
      </c>
      <c r="H17" s="1" t="str">
        <f t="shared" si="0"/>
        <v>Yes</v>
      </c>
    </row>
    <row r="18" spans="2:8" x14ac:dyDescent="0.25">
      <c r="B18" t="s">
        <v>44</v>
      </c>
      <c r="C18" s="1" t="s">
        <v>5</v>
      </c>
      <c r="D18" s="20">
        <v>7.0868E-5</v>
      </c>
      <c r="E18" s="1" t="str">
        <f t="shared" si="1"/>
        <v>Yes</v>
      </c>
      <c r="F18" s="21">
        <v>2.4219249081870401E-2</v>
      </c>
      <c r="G18" s="1" t="str">
        <f t="shared" si="2"/>
        <v>No</v>
      </c>
      <c r="H18" s="1" t="str">
        <f t="shared" si="0"/>
        <v>No</v>
      </c>
    </row>
    <row r="19" spans="2:8" x14ac:dyDescent="0.25">
      <c r="B19" t="s">
        <v>45</v>
      </c>
      <c r="C19" s="1" t="s">
        <v>6</v>
      </c>
      <c r="D19">
        <v>0.73111000000000004</v>
      </c>
      <c r="E19" s="1" t="str">
        <f t="shared" si="1"/>
        <v>Yes</v>
      </c>
      <c r="F19" s="21">
        <v>4.6495231389214403E-3</v>
      </c>
      <c r="G19" s="1" t="str">
        <f t="shared" si="2"/>
        <v>Yes</v>
      </c>
      <c r="H19" s="1" t="str">
        <f t="shared" si="0"/>
        <v>Yes</v>
      </c>
    </row>
    <row r="20" spans="2:8" x14ac:dyDescent="0.25">
      <c r="B20" t="s">
        <v>46</v>
      </c>
      <c r="C20" s="1" t="s">
        <v>5</v>
      </c>
      <c r="D20" s="20">
        <v>1.1064999999999999E-6</v>
      </c>
      <c r="E20" s="1" t="str">
        <f t="shared" si="1"/>
        <v>Yes</v>
      </c>
      <c r="F20" s="21">
        <v>8.9759149680617906E-2</v>
      </c>
      <c r="G20" s="1" t="str">
        <f t="shared" si="2"/>
        <v>No</v>
      </c>
      <c r="H20" s="1" t="str">
        <f t="shared" si="0"/>
        <v>No</v>
      </c>
    </row>
    <row r="21" spans="2:8" x14ac:dyDescent="0.25">
      <c r="B21" t="s">
        <v>47</v>
      </c>
      <c r="C21" s="1" t="s">
        <v>6</v>
      </c>
      <c r="D21">
        <v>0.12676000000000001</v>
      </c>
      <c r="E21" s="1" t="str">
        <f t="shared" si="1"/>
        <v>Yes</v>
      </c>
      <c r="F21" s="21">
        <v>5.28360538687071E-2</v>
      </c>
      <c r="G21" s="1" t="str">
        <f t="shared" si="2"/>
        <v>Yes</v>
      </c>
      <c r="H21" s="1" t="str">
        <f t="shared" si="0"/>
        <v>Yes</v>
      </c>
    </row>
    <row r="22" spans="2:8" x14ac:dyDescent="0.25">
      <c r="B22" t="s">
        <v>48</v>
      </c>
      <c r="C22" s="1" t="s">
        <v>6</v>
      </c>
      <c r="D22" s="20">
        <v>8.3077000000000004E-5</v>
      </c>
      <c r="E22" s="1" t="str">
        <f t="shared" si="1"/>
        <v>No</v>
      </c>
      <c r="F22" s="21">
        <v>7.7235775661386799E-2</v>
      </c>
      <c r="G22" s="1" t="str">
        <f t="shared" si="2"/>
        <v>Yes</v>
      </c>
      <c r="H22" s="1" t="str">
        <f t="shared" si="0"/>
        <v>No</v>
      </c>
    </row>
    <row r="23" spans="2:8" x14ac:dyDescent="0.25">
      <c r="F23" s="21"/>
    </row>
    <row r="25" spans="2:8" x14ac:dyDescent="0.25">
      <c r="B25" t="s">
        <v>1</v>
      </c>
      <c r="C25">
        <f>COUNTIF($C4:$C22,"Major")</f>
        <v>10</v>
      </c>
    </row>
    <row r="26" spans="2:8" x14ac:dyDescent="0.25">
      <c r="B26" t="s">
        <v>2</v>
      </c>
      <c r="C26">
        <f>COUNTIF($C4:$C22,"Minor")</f>
        <v>9</v>
      </c>
    </row>
    <row r="27" spans="2:8" x14ac:dyDescent="0.25">
      <c r="B27" t="s">
        <v>7</v>
      </c>
      <c r="C27">
        <f>SUM(C25:C26)</f>
        <v>19</v>
      </c>
    </row>
    <row r="28" spans="2:8" x14ac:dyDescent="0.25">
      <c r="B28" t="s">
        <v>9</v>
      </c>
      <c r="C28">
        <f>COUNTIF(E4:E22, "Yes")</f>
        <v>16</v>
      </c>
    </row>
    <row r="29" spans="2:8" x14ac:dyDescent="0.25">
      <c r="B29" t="s">
        <v>12</v>
      </c>
      <c r="C29">
        <f>COUNTIF(G4:G22, "Yes")</f>
        <v>10</v>
      </c>
    </row>
    <row r="30" spans="2:8" x14ac:dyDescent="0.25">
      <c r="B30" t="s">
        <v>13</v>
      </c>
      <c r="C30">
        <f>COUNTIF(H4:H22, "Yes")</f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25346-D847-49C4-9810-B10B61D4A5CB}">
  <dimension ref="B2:H30"/>
  <sheetViews>
    <sheetView zoomScale="85" zoomScaleNormal="85" workbookViewId="0">
      <selection activeCell="E4" sqref="E4:E22"/>
    </sheetView>
  </sheetViews>
  <sheetFormatPr defaultRowHeight="15" x14ac:dyDescent="0.25"/>
  <cols>
    <col min="2" max="2" width="42.7109375" customWidth="1"/>
    <col min="3" max="3" width="29.5703125" customWidth="1"/>
    <col min="4" max="4" width="77" customWidth="1"/>
    <col min="5" max="5" width="33.42578125" customWidth="1"/>
    <col min="6" max="6" width="43.42578125" customWidth="1"/>
    <col min="7" max="7" width="27.28515625" customWidth="1"/>
    <col min="8" max="8" width="38.7109375" customWidth="1"/>
    <col min="9" max="9" width="13.42578125" customWidth="1"/>
    <col min="10" max="10" width="22.42578125" customWidth="1"/>
  </cols>
  <sheetData>
    <row r="2" spans="2:8" x14ac:dyDescent="0.25">
      <c r="B2" t="s">
        <v>28</v>
      </c>
    </row>
    <row r="3" spans="2:8" x14ac:dyDescent="0.25">
      <c r="B3" t="s">
        <v>3</v>
      </c>
      <c r="C3" t="s">
        <v>4</v>
      </c>
      <c r="D3" s="1" t="s">
        <v>25</v>
      </c>
      <c r="E3" s="1" t="s">
        <v>29</v>
      </c>
      <c r="F3" s="1" t="s">
        <v>11</v>
      </c>
      <c r="G3" s="1" t="s">
        <v>10</v>
      </c>
      <c r="H3" t="s">
        <v>26</v>
      </c>
    </row>
    <row r="4" spans="2:8" x14ac:dyDescent="0.25">
      <c r="B4" t="s">
        <v>30</v>
      </c>
      <c r="C4" s="1" t="s">
        <v>5</v>
      </c>
      <c r="D4" s="20">
        <v>4.4766000000000001E-4</v>
      </c>
      <c r="E4" s="1" t="str">
        <f>IF($C4 = "Major", IF($D4 &lt; 0.001, "Yes", "No"), IF($D4 &gt;= 0.001, "Yes", "No"))</f>
        <v>Yes</v>
      </c>
      <c r="F4" s="21">
        <v>9.3984604894827906E-2</v>
      </c>
      <c r="G4" s="1" t="str">
        <f>IF($C4="Major", IF($F4 &gt; 0.05, "Yes", "No"), IF($F4 &lt;= 0.05, "Yes", "No"))</f>
        <v>Yes</v>
      </c>
      <c r="H4" s="1" t="str">
        <f t="shared" ref="H4:H22" si="0">IF(OR( (AND(D4 &lt; 0.05, F4 &gt; 0.1)), (AND(D4 &gt;= 0.05, F4 &lt;= 0.1))), "Yes", "No")</f>
        <v>No</v>
      </c>
    </row>
    <row r="5" spans="2:8" x14ac:dyDescent="0.25">
      <c r="B5" t="s">
        <v>31</v>
      </c>
      <c r="C5" s="1" t="s">
        <v>5</v>
      </c>
      <c r="D5" s="20">
        <v>1.2039E-4</v>
      </c>
      <c r="E5" s="1" t="str">
        <f t="shared" ref="E5:E22" si="1">IF($C5 = "Major", IF($D5 &lt; 0.001, "Yes", "No"), IF($D5 &gt;= 0.001, "Yes", "No"))</f>
        <v>Yes</v>
      </c>
      <c r="F5" s="21">
        <v>3.90941260204044E-2</v>
      </c>
      <c r="G5" s="1" t="str">
        <f t="shared" ref="G5:G22" si="2">IF($C5="Major", IF($F5 &gt; 0.05, "Yes", "No"), IF($F5 &lt;= 0.05, "Yes", "No"))</f>
        <v>No</v>
      </c>
      <c r="H5" s="1" t="str">
        <f t="shared" si="0"/>
        <v>No</v>
      </c>
    </row>
    <row r="6" spans="2:8" x14ac:dyDescent="0.25">
      <c r="B6" t="s">
        <v>32</v>
      </c>
      <c r="C6" s="1" t="s">
        <v>5</v>
      </c>
      <c r="D6" s="20">
        <v>9.4777000000000004E-3</v>
      </c>
      <c r="E6" s="1" t="str">
        <f t="shared" si="1"/>
        <v>No</v>
      </c>
      <c r="F6" s="21">
        <v>3.9157140173577E-2</v>
      </c>
      <c r="G6" s="1" t="str">
        <f t="shared" si="2"/>
        <v>No</v>
      </c>
      <c r="H6" s="1" t="str">
        <f t="shared" si="0"/>
        <v>No</v>
      </c>
    </row>
    <row r="7" spans="2:8" x14ac:dyDescent="0.25">
      <c r="B7" t="s">
        <v>33</v>
      </c>
      <c r="C7" s="1" t="s">
        <v>5</v>
      </c>
      <c r="D7" s="20">
        <v>6.8495999999999996E-7</v>
      </c>
      <c r="E7" s="1" t="str">
        <f t="shared" si="1"/>
        <v>Yes</v>
      </c>
      <c r="F7" s="21">
        <v>5.1802958907761799E-2</v>
      </c>
      <c r="G7" s="1" t="str">
        <f t="shared" si="2"/>
        <v>Yes</v>
      </c>
      <c r="H7" s="1" t="str">
        <f t="shared" si="0"/>
        <v>No</v>
      </c>
    </row>
    <row r="8" spans="2:8" x14ac:dyDescent="0.25">
      <c r="B8" t="s">
        <v>34</v>
      </c>
      <c r="C8" s="1" t="s">
        <v>6</v>
      </c>
      <c r="D8">
        <v>6.5124000000000001E-2</v>
      </c>
      <c r="E8" s="1" t="str">
        <f t="shared" si="1"/>
        <v>Yes</v>
      </c>
      <c r="F8" s="21">
        <v>5.5230701442523698E-2</v>
      </c>
      <c r="G8" s="1" t="str">
        <f t="shared" si="2"/>
        <v>No</v>
      </c>
      <c r="H8" s="1" t="str">
        <f t="shared" si="0"/>
        <v>Yes</v>
      </c>
    </row>
    <row r="9" spans="2:8" x14ac:dyDescent="0.25">
      <c r="B9" t="s">
        <v>35</v>
      </c>
      <c r="C9" s="1" t="s">
        <v>6</v>
      </c>
      <c r="D9" s="20">
        <v>8.0957999999999996E-4</v>
      </c>
      <c r="E9" s="1" t="str">
        <f t="shared" si="1"/>
        <v>No</v>
      </c>
      <c r="F9" s="21">
        <v>8.3826426822547401E-2</v>
      </c>
      <c r="G9" s="1" t="str">
        <f t="shared" si="2"/>
        <v>No</v>
      </c>
      <c r="H9" s="1" t="str">
        <f t="shared" si="0"/>
        <v>No</v>
      </c>
    </row>
    <row r="10" spans="2:8" x14ac:dyDescent="0.25">
      <c r="B10" t="s">
        <v>36</v>
      </c>
      <c r="C10" s="1" t="s">
        <v>5</v>
      </c>
      <c r="D10" s="20">
        <v>1.5844999999999999E-7</v>
      </c>
      <c r="E10" s="1" t="str">
        <f t="shared" si="1"/>
        <v>Yes</v>
      </c>
      <c r="F10" s="21">
        <v>8.2912543463954394E-2</v>
      </c>
      <c r="G10" s="1" t="str">
        <f t="shared" si="2"/>
        <v>Yes</v>
      </c>
      <c r="H10" s="1" t="str">
        <f t="shared" si="0"/>
        <v>No</v>
      </c>
    </row>
    <row r="11" spans="2:8" x14ac:dyDescent="0.25">
      <c r="B11" t="s">
        <v>37</v>
      </c>
      <c r="C11" s="1" t="s">
        <v>5</v>
      </c>
      <c r="D11" s="20">
        <v>1.9613E-24</v>
      </c>
      <c r="E11" s="1" t="str">
        <f t="shared" si="1"/>
        <v>Yes</v>
      </c>
      <c r="F11" s="21">
        <v>0.24175623501945501</v>
      </c>
      <c r="G11" s="1" t="str">
        <f t="shared" si="2"/>
        <v>Yes</v>
      </c>
      <c r="H11" s="1" t="str">
        <f t="shared" si="0"/>
        <v>Yes</v>
      </c>
    </row>
    <row r="12" spans="2:8" x14ac:dyDescent="0.25">
      <c r="B12" t="s">
        <v>38</v>
      </c>
      <c r="C12" s="1" t="s">
        <v>6</v>
      </c>
      <c r="D12">
        <v>0.91956000000000004</v>
      </c>
      <c r="E12" s="1" t="str">
        <f t="shared" si="1"/>
        <v>Yes</v>
      </c>
      <c r="F12" s="21">
        <v>1.02865120119859E-2</v>
      </c>
      <c r="G12" s="1" t="str">
        <f t="shared" si="2"/>
        <v>Yes</v>
      </c>
      <c r="H12" s="1" t="str">
        <f t="shared" si="0"/>
        <v>Yes</v>
      </c>
    </row>
    <row r="13" spans="2:8" x14ac:dyDescent="0.25">
      <c r="B13" t="s">
        <v>39</v>
      </c>
      <c r="C13" s="1" t="s">
        <v>5</v>
      </c>
      <c r="D13" s="20">
        <v>3.1108000000000001E-5</v>
      </c>
      <c r="E13" s="1" t="str">
        <f t="shared" si="1"/>
        <v>Yes</v>
      </c>
      <c r="F13" s="21">
        <v>1.47296972868937E-2</v>
      </c>
      <c r="G13" s="1" t="str">
        <f t="shared" si="2"/>
        <v>No</v>
      </c>
      <c r="H13" s="1" t="str">
        <f t="shared" si="0"/>
        <v>No</v>
      </c>
    </row>
    <row r="14" spans="2:8" x14ac:dyDescent="0.25">
      <c r="B14" t="s">
        <v>40</v>
      </c>
      <c r="C14" s="1" t="s">
        <v>6</v>
      </c>
      <c r="D14">
        <v>0.42742999999999998</v>
      </c>
      <c r="E14" s="1" t="str">
        <f t="shared" si="1"/>
        <v>Yes</v>
      </c>
      <c r="F14" s="21">
        <v>5.8362673403129402E-3</v>
      </c>
      <c r="G14" s="1" t="str">
        <f t="shared" si="2"/>
        <v>Yes</v>
      </c>
      <c r="H14" s="1" t="str">
        <f t="shared" si="0"/>
        <v>Yes</v>
      </c>
    </row>
    <row r="15" spans="2:8" x14ac:dyDescent="0.25">
      <c r="B15" t="s">
        <v>41</v>
      </c>
      <c r="C15" s="1" t="s">
        <v>6</v>
      </c>
      <c r="D15">
        <v>0.21348</v>
      </c>
      <c r="E15" s="1" t="str">
        <f t="shared" si="1"/>
        <v>Yes</v>
      </c>
      <c r="F15" s="21">
        <v>2.9031860698207602E-3</v>
      </c>
      <c r="G15" s="1" t="str">
        <f t="shared" si="2"/>
        <v>Yes</v>
      </c>
      <c r="H15" s="1" t="str">
        <f t="shared" si="0"/>
        <v>Yes</v>
      </c>
    </row>
    <row r="16" spans="2:8" x14ac:dyDescent="0.25">
      <c r="B16" t="s">
        <v>42</v>
      </c>
      <c r="C16" s="1" t="s">
        <v>5</v>
      </c>
      <c r="D16">
        <v>3.2316999999999999E-2</v>
      </c>
      <c r="E16" s="1" t="str">
        <f t="shared" si="1"/>
        <v>No</v>
      </c>
      <c r="F16" s="21">
        <v>4.5976387108636703E-3</v>
      </c>
      <c r="G16" s="1" t="str">
        <f t="shared" si="2"/>
        <v>No</v>
      </c>
      <c r="H16" s="1" t="str">
        <f t="shared" si="0"/>
        <v>No</v>
      </c>
    </row>
    <row r="17" spans="2:8" x14ac:dyDescent="0.25">
      <c r="B17" t="s">
        <v>43</v>
      </c>
      <c r="C17" s="1" t="s">
        <v>6</v>
      </c>
      <c r="D17">
        <v>0.33599000000000001</v>
      </c>
      <c r="E17" s="1" t="str">
        <f t="shared" si="1"/>
        <v>Yes</v>
      </c>
      <c r="F17" s="21">
        <v>2.51822104035666E-2</v>
      </c>
      <c r="G17" s="1" t="str">
        <f t="shared" si="2"/>
        <v>Yes</v>
      </c>
      <c r="H17" s="1" t="str">
        <f t="shared" si="0"/>
        <v>Yes</v>
      </c>
    </row>
    <row r="18" spans="2:8" x14ac:dyDescent="0.25">
      <c r="B18" t="s">
        <v>44</v>
      </c>
      <c r="C18" s="1" t="s">
        <v>5</v>
      </c>
      <c r="D18" s="20">
        <v>7.0868E-5</v>
      </c>
      <c r="E18" s="1" t="str">
        <f t="shared" si="1"/>
        <v>Yes</v>
      </c>
      <c r="F18" s="21">
        <v>2.4219249081870401E-2</v>
      </c>
      <c r="G18" s="1" t="str">
        <f t="shared" si="2"/>
        <v>No</v>
      </c>
      <c r="H18" s="1" t="str">
        <f t="shared" si="0"/>
        <v>No</v>
      </c>
    </row>
    <row r="19" spans="2:8" x14ac:dyDescent="0.25">
      <c r="B19" t="s">
        <v>45</v>
      </c>
      <c r="C19" s="1" t="s">
        <v>6</v>
      </c>
      <c r="D19">
        <v>0.73111000000000004</v>
      </c>
      <c r="E19" s="1" t="str">
        <f t="shared" si="1"/>
        <v>Yes</v>
      </c>
      <c r="F19" s="21">
        <v>4.6495231389214403E-3</v>
      </c>
      <c r="G19" s="1" t="str">
        <f t="shared" si="2"/>
        <v>Yes</v>
      </c>
      <c r="H19" s="1" t="str">
        <f t="shared" si="0"/>
        <v>Yes</v>
      </c>
    </row>
    <row r="20" spans="2:8" x14ac:dyDescent="0.25">
      <c r="B20" t="s">
        <v>46</v>
      </c>
      <c r="C20" s="1" t="s">
        <v>5</v>
      </c>
      <c r="D20" s="20">
        <v>1.1064999999999999E-6</v>
      </c>
      <c r="E20" s="1" t="str">
        <f t="shared" si="1"/>
        <v>Yes</v>
      </c>
      <c r="F20" s="21">
        <v>8.9759149680617906E-2</v>
      </c>
      <c r="G20" s="1" t="str">
        <f t="shared" si="2"/>
        <v>Yes</v>
      </c>
      <c r="H20" s="1" t="str">
        <f t="shared" si="0"/>
        <v>No</v>
      </c>
    </row>
    <row r="21" spans="2:8" x14ac:dyDescent="0.25">
      <c r="B21" t="s">
        <v>47</v>
      </c>
      <c r="C21" s="1" t="s">
        <v>6</v>
      </c>
      <c r="D21">
        <v>0.12676000000000001</v>
      </c>
      <c r="E21" s="1" t="str">
        <f t="shared" si="1"/>
        <v>Yes</v>
      </c>
      <c r="F21" s="21">
        <v>5.28360538687071E-2</v>
      </c>
      <c r="G21" s="1" t="str">
        <f t="shared" si="2"/>
        <v>No</v>
      </c>
      <c r="H21" s="1" t="str">
        <f t="shared" si="0"/>
        <v>Yes</v>
      </c>
    </row>
    <row r="22" spans="2:8" x14ac:dyDescent="0.25">
      <c r="B22" t="s">
        <v>48</v>
      </c>
      <c r="C22" s="1" t="s">
        <v>6</v>
      </c>
      <c r="D22" s="20">
        <v>8.3077000000000004E-5</v>
      </c>
      <c r="E22" s="1" t="str">
        <f t="shared" si="1"/>
        <v>No</v>
      </c>
      <c r="F22" s="21">
        <v>7.7235775661386799E-2</v>
      </c>
      <c r="G22" s="1" t="str">
        <f t="shared" si="2"/>
        <v>No</v>
      </c>
      <c r="H22" s="1" t="str">
        <f t="shared" si="0"/>
        <v>No</v>
      </c>
    </row>
    <row r="23" spans="2:8" x14ac:dyDescent="0.25">
      <c r="F23" s="21"/>
    </row>
    <row r="25" spans="2:8" x14ac:dyDescent="0.25">
      <c r="B25" t="s">
        <v>1</v>
      </c>
      <c r="C25">
        <f>COUNTIF($C4:$C22,"Major")</f>
        <v>10</v>
      </c>
    </row>
    <row r="26" spans="2:8" x14ac:dyDescent="0.25">
      <c r="B26" t="s">
        <v>2</v>
      </c>
      <c r="C26">
        <f>COUNTIF($C4:$C22,"Minor")</f>
        <v>9</v>
      </c>
    </row>
    <row r="27" spans="2:8" x14ac:dyDescent="0.25">
      <c r="B27" t="s">
        <v>7</v>
      </c>
      <c r="C27">
        <f>SUM(C25:C26)</f>
        <v>19</v>
      </c>
    </row>
    <row r="28" spans="2:8" x14ac:dyDescent="0.25">
      <c r="B28" t="s">
        <v>9</v>
      </c>
      <c r="C28">
        <f>COUNTIF(E4:E22, "Yes")</f>
        <v>15</v>
      </c>
    </row>
    <row r="29" spans="2:8" x14ac:dyDescent="0.25">
      <c r="B29" t="s">
        <v>12</v>
      </c>
      <c r="C29">
        <f>COUNTIF(G4:G22, "Yes")</f>
        <v>10</v>
      </c>
    </row>
    <row r="30" spans="2:8" x14ac:dyDescent="0.25">
      <c r="B30" t="s">
        <v>13</v>
      </c>
      <c r="C30">
        <f>COUNTIF(H4:H22, "Yes")</f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CE27D-7597-43A3-9846-1F06E2FD6692}">
  <dimension ref="B2:H30"/>
  <sheetViews>
    <sheetView topLeftCell="C1" zoomScale="85" zoomScaleNormal="85" workbookViewId="0">
      <selection activeCell="E4" sqref="E4"/>
    </sheetView>
  </sheetViews>
  <sheetFormatPr defaultRowHeight="15" x14ac:dyDescent="0.25"/>
  <cols>
    <col min="2" max="2" width="42.7109375" customWidth="1"/>
    <col min="3" max="3" width="29.5703125" customWidth="1"/>
    <col min="4" max="4" width="77" customWidth="1"/>
    <col min="5" max="5" width="33.42578125" customWidth="1"/>
    <col min="6" max="6" width="43.42578125" customWidth="1"/>
    <col min="7" max="7" width="27.28515625" customWidth="1"/>
    <col min="8" max="8" width="38.7109375" customWidth="1"/>
    <col min="9" max="9" width="13.42578125" customWidth="1"/>
    <col min="10" max="10" width="22.42578125" customWidth="1"/>
  </cols>
  <sheetData>
    <row r="2" spans="2:8" x14ac:dyDescent="0.25">
      <c r="B2" t="s">
        <v>28</v>
      </c>
    </row>
    <row r="3" spans="2:8" x14ac:dyDescent="0.25">
      <c r="B3" t="s">
        <v>3</v>
      </c>
      <c r="C3" t="s">
        <v>4</v>
      </c>
      <c r="D3" s="1" t="s">
        <v>25</v>
      </c>
      <c r="E3" s="1" t="s">
        <v>29</v>
      </c>
      <c r="F3" s="1" t="s">
        <v>11</v>
      </c>
      <c r="G3" s="1" t="s">
        <v>10</v>
      </c>
      <c r="H3" t="s">
        <v>26</v>
      </c>
    </row>
    <row r="4" spans="2:8" x14ac:dyDescent="0.25">
      <c r="B4" t="s">
        <v>30</v>
      </c>
      <c r="C4" s="1" t="s">
        <v>5</v>
      </c>
      <c r="D4" s="20">
        <v>4.4766000000000001E-4</v>
      </c>
      <c r="E4" s="1" t="str">
        <f>IF($C4 = "Major", IF($D4 &lt; 0.001, "Yes", "No"), IF($D4 &gt;= 0.001, "Yes", "No"))</f>
        <v>Yes</v>
      </c>
      <c r="F4" s="21">
        <v>9.3984604894827906E-2</v>
      </c>
      <c r="G4" s="1" t="str">
        <f t="shared" ref="G4:G22" si="0">IF($C4="Major", IF($F4 &gt; 0.1, "Yes", "No"), IF($F4 &lt;= 0.1, "Yes", "No"))</f>
        <v>No</v>
      </c>
      <c r="H4" s="1" t="str">
        <f t="shared" ref="H4:H22" si="1">IF(OR( (AND(D4 &lt; 0.05, F4 &gt; 0.1)), (AND(D4 &gt;= 0.05, F4 &lt;= 0.1))), "Yes", "No")</f>
        <v>No</v>
      </c>
    </row>
    <row r="5" spans="2:8" x14ac:dyDescent="0.25">
      <c r="B5" t="s">
        <v>31</v>
      </c>
      <c r="C5" s="1" t="s">
        <v>5</v>
      </c>
      <c r="D5" s="20">
        <v>1.2039E-4</v>
      </c>
      <c r="E5" s="1" t="str">
        <f t="shared" ref="E5:E22" si="2">IF($C5 = "Major", IF($D5 &lt; 0.001, "Yes", "No"), IF($D5 &gt;= 0.001, "Yes", "No"))</f>
        <v>Yes</v>
      </c>
      <c r="F5" s="21">
        <v>3.90941260204044E-2</v>
      </c>
      <c r="G5" s="1" t="str">
        <f t="shared" si="0"/>
        <v>No</v>
      </c>
      <c r="H5" s="1" t="str">
        <f t="shared" si="1"/>
        <v>No</v>
      </c>
    </row>
    <row r="6" spans="2:8" x14ac:dyDescent="0.25">
      <c r="B6" t="s">
        <v>32</v>
      </c>
      <c r="C6" s="1" t="s">
        <v>5</v>
      </c>
      <c r="D6" s="20">
        <v>9.4777000000000004E-3</v>
      </c>
      <c r="E6" s="1" t="str">
        <f t="shared" si="2"/>
        <v>No</v>
      </c>
      <c r="F6" s="21">
        <v>3.9157140173577E-2</v>
      </c>
      <c r="G6" s="1" t="str">
        <f t="shared" si="0"/>
        <v>No</v>
      </c>
      <c r="H6" s="1" t="str">
        <f t="shared" si="1"/>
        <v>No</v>
      </c>
    </row>
    <row r="7" spans="2:8" x14ac:dyDescent="0.25">
      <c r="B7" t="s">
        <v>33</v>
      </c>
      <c r="C7" s="1" t="s">
        <v>5</v>
      </c>
      <c r="D7" s="20">
        <v>6.8495999999999996E-7</v>
      </c>
      <c r="E7" s="1" t="str">
        <f t="shared" si="2"/>
        <v>Yes</v>
      </c>
      <c r="F7" s="21">
        <v>5.1802958907761799E-2</v>
      </c>
      <c r="G7" s="1" t="str">
        <f t="shared" si="0"/>
        <v>No</v>
      </c>
      <c r="H7" s="1" t="str">
        <f t="shared" si="1"/>
        <v>No</v>
      </c>
    </row>
    <row r="8" spans="2:8" x14ac:dyDescent="0.25">
      <c r="B8" t="s">
        <v>34</v>
      </c>
      <c r="C8" s="1" t="s">
        <v>6</v>
      </c>
      <c r="D8">
        <v>6.5124000000000001E-2</v>
      </c>
      <c r="E8" s="1" t="str">
        <f t="shared" si="2"/>
        <v>Yes</v>
      </c>
      <c r="F8" s="21">
        <v>5.5230701442523698E-2</v>
      </c>
      <c r="G8" s="1" t="str">
        <f t="shared" si="0"/>
        <v>Yes</v>
      </c>
      <c r="H8" s="1" t="str">
        <f t="shared" si="1"/>
        <v>Yes</v>
      </c>
    </row>
    <row r="9" spans="2:8" x14ac:dyDescent="0.25">
      <c r="B9" t="s">
        <v>35</v>
      </c>
      <c r="C9" s="1" t="s">
        <v>6</v>
      </c>
      <c r="D9" s="20">
        <v>8.0957999999999996E-4</v>
      </c>
      <c r="E9" s="1" t="str">
        <f t="shared" si="2"/>
        <v>No</v>
      </c>
      <c r="F9" s="21">
        <v>8.3826426822547401E-2</v>
      </c>
      <c r="G9" s="1" t="str">
        <f t="shared" si="0"/>
        <v>Yes</v>
      </c>
      <c r="H9" s="1" t="str">
        <f t="shared" si="1"/>
        <v>No</v>
      </c>
    </row>
    <row r="10" spans="2:8" x14ac:dyDescent="0.25">
      <c r="B10" t="s">
        <v>36</v>
      </c>
      <c r="C10" s="1" t="s">
        <v>5</v>
      </c>
      <c r="D10" s="20">
        <v>1.5844999999999999E-7</v>
      </c>
      <c r="E10" s="1" t="str">
        <f t="shared" si="2"/>
        <v>Yes</v>
      </c>
      <c r="F10" s="21">
        <v>8.2912543463954394E-2</v>
      </c>
      <c r="G10" s="1" t="str">
        <f t="shared" si="0"/>
        <v>No</v>
      </c>
      <c r="H10" s="1" t="str">
        <f t="shared" si="1"/>
        <v>No</v>
      </c>
    </row>
    <row r="11" spans="2:8" x14ac:dyDescent="0.25">
      <c r="B11" t="s">
        <v>37</v>
      </c>
      <c r="C11" s="1" t="s">
        <v>5</v>
      </c>
      <c r="D11" s="20">
        <v>1.9613E-24</v>
      </c>
      <c r="E11" s="1" t="str">
        <f t="shared" si="2"/>
        <v>Yes</v>
      </c>
      <c r="F11" s="21">
        <v>0.24175623501945501</v>
      </c>
      <c r="G11" s="1" t="str">
        <f t="shared" si="0"/>
        <v>Yes</v>
      </c>
      <c r="H11" s="1" t="str">
        <f t="shared" si="1"/>
        <v>Yes</v>
      </c>
    </row>
    <row r="12" spans="2:8" x14ac:dyDescent="0.25">
      <c r="B12" t="s">
        <v>38</v>
      </c>
      <c r="C12" s="1" t="s">
        <v>6</v>
      </c>
      <c r="D12">
        <v>0.91956000000000004</v>
      </c>
      <c r="E12" s="1" t="str">
        <f t="shared" si="2"/>
        <v>Yes</v>
      </c>
      <c r="F12" s="21">
        <v>1.02865120119859E-2</v>
      </c>
      <c r="G12" s="1" t="str">
        <f t="shared" si="0"/>
        <v>Yes</v>
      </c>
      <c r="H12" s="1" t="str">
        <f t="shared" si="1"/>
        <v>Yes</v>
      </c>
    </row>
    <row r="13" spans="2:8" x14ac:dyDescent="0.25">
      <c r="B13" t="s">
        <v>39</v>
      </c>
      <c r="C13" s="1" t="s">
        <v>5</v>
      </c>
      <c r="D13" s="20">
        <v>3.1108000000000001E-5</v>
      </c>
      <c r="E13" s="1" t="str">
        <f t="shared" si="2"/>
        <v>Yes</v>
      </c>
      <c r="F13" s="21">
        <v>1.47296972868937E-2</v>
      </c>
      <c r="G13" s="1" t="str">
        <f t="shared" si="0"/>
        <v>No</v>
      </c>
      <c r="H13" s="1" t="str">
        <f t="shared" si="1"/>
        <v>No</v>
      </c>
    </row>
    <row r="14" spans="2:8" x14ac:dyDescent="0.25">
      <c r="B14" t="s">
        <v>40</v>
      </c>
      <c r="C14" s="1" t="s">
        <v>6</v>
      </c>
      <c r="D14">
        <v>0.42742999999999998</v>
      </c>
      <c r="E14" s="1" t="str">
        <f t="shared" si="2"/>
        <v>Yes</v>
      </c>
      <c r="F14" s="21">
        <v>5.8362673403129402E-3</v>
      </c>
      <c r="G14" s="1" t="str">
        <f t="shared" si="0"/>
        <v>Yes</v>
      </c>
      <c r="H14" s="1" t="str">
        <f t="shared" si="1"/>
        <v>Yes</v>
      </c>
    </row>
    <row r="15" spans="2:8" x14ac:dyDescent="0.25">
      <c r="B15" t="s">
        <v>41</v>
      </c>
      <c r="C15" s="1" t="s">
        <v>6</v>
      </c>
      <c r="D15">
        <v>0.21348</v>
      </c>
      <c r="E15" s="1" t="str">
        <f t="shared" si="2"/>
        <v>Yes</v>
      </c>
      <c r="F15" s="21">
        <v>2.9031860698207602E-3</v>
      </c>
      <c r="G15" s="1" t="str">
        <f t="shared" si="0"/>
        <v>Yes</v>
      </c>
      <c r="H15" s="1" t="str">
        <f t="shared" si="1"/>
        <v>Yes</v>
      </c>
    </row>
    <row r="16" spans="2:8" x14ac:dyDescent="0.25">
      <c r="B16" t="s">
        <v>42</v>
      </c>
      <c r="C16" s="1" t="s">
        <v>5</v>
      </c>
      <c r="D16">
        <v>3.2316999999999999E-2</v>
      </c>
      <c r="E16" s="1" t="str">
        <f t="shared" si="2"/>
        <v>No</v>
      </c>
      <c r="F16" s="21">
        <v>4.5976387108636703E-3</v>
      </c>
      <c r="G16" s="1" t="str">
        <f t="shared" si="0"/>
        <v>No</v>
      </c>
      <c r="H16" s="1" t="str">
        <f t="shared" si="1"/>
        <v>No</v>
      </c>
    </row>
    <row r="17" spans="2:8" x14ac:dyDescent="0.25">
      <c r="B17" t="s">
        <v>43</v>
      </c>
      <c r="C17" s="1" t="s">
        <v>6</v>
      </c>
      <c r="D17">
        <v>0.33599000000000001</v>
      </c>
      <c r="E17" s="1" t="str">
        <f t="shared" si="2"/>
        <v>Yes</v>
      </c>
      <c r="F17" s="21">
        <v>2.51822104035666E-2</v>
      </c>
      <c r="G17" s="1" t="str">
        <f t="shared" si="0"/>
        <v>Yes</v>
      </c>
      <c r="H17" s="1" t="str">
        <f t="shared" si="1"/>
        <v>Yes</v>
      </c>
    </row>
    <row r="18" spans="2:8" x14ac:dyDescent="0.25">
      <c r="B18" t="s">
        <v>44</v>
      </c>
      <c r="C18" s="1" t="s">
        <v>5</v>
      </c>
      <c r="D18" s="20">
        <v>7.0868E-5</v>
      </c>
      <c r="E18" s="1" t="str">
        <f t="shared" si="2"/>
        <v>Yes</v>
      </c>
      <c r="F18" s="21">
        <v>2.4219249081870401E-2</v>
      </c>
      <c r="G18" s="1" t="str">
        <f t="shared" si="0"/>
        <v>No</v>
      </c>
      <c r="H18" s="1" t="str">
        <f t="shared" si="1"/>
        <v>No</v>
      </c>
    </row>
    <row r="19" spans="2:8" x14ac:dyDescent="0.25">
      <c r="B19" t="s">
        <v>45</v>
      </c>
      <c r="C19" s="1" t="s">
        <v>6</v>
      </c>
      <c r="D19">
        <v>0.73111000000000004</v>
      </c>
      <c r="E19" s="1" t="str">
        <f t="shared" si="2"/>
        <v>Yes</v>
      </c>
      <c r="F19" s="21">
        <v>4.6495231389214403E-3</v>
      </c>
      <c r="G19" s="1" t="str">
        <f t="shared" si="0"/>
        <v>Yes</v>
      </c>
      <c r="H19" s="1" t="str">
        <f t="shared" si="1"/>
        <v>Yes</v>
      </c>
    </row>
    <row r="20" spans="2:8" x14ac:dyDescent="0.25">
      <c r="B20" t="s">
        <v>46</v>
      </c>
      <c r="C20" s="1" t="s">
        <v>5</v>
      </c>
      <c r="D20" s="20">
        <v>1.1064999999999999E-6</v>
      </c>
      <c r="E20" s="1" t="str">
        <f t="shared" si="2"/>
        <v>Yes</v>
      </c>
      <c r="F20" s="21">
        <v>8.9759149680617906E-2</v>
      </c>
      <c r="G20" s="1" t="str">
        <f t="shared" si="0"/>
        <v>No</v>
      </c>
      <c r="H20" s="1" t="str">
        <f t="shared" si="1"/>
        <v>No</v>
      </c>
    </row>
    <row r="21" spans="2:8" x14ac:dyDescent="0.25">
      <c r="B21" t="s">
        <v>47</v>
      </c>
      <c r="C21" s="1" t="s">
        <v>6</v>
      </c>
      <c r="D21">
        <v>0.12676000000000001</v>
      </c>
      <c r="E21" s="1" t="str">
        <f t="shared" si="2"/>
        <v>Yes</v>
      </c>
      <c r="F21" s="21">
        <v>5.28360538687071E-2</v>
      </c>
      <c r="G21" s="1" t="str">
        <f t="shared" si="0"/>
        <v>Yes</v>
      </c>
      <c r="H21" s="1" t="str">
        <f t="shared" si="1"/>
        <v>Yes</v>
      </c>
    </row>
    <row r="22" spans="2:8" x14ac:dyDescent="0.25">
      <c r="B22" t="s">
        <v>48</v>
      </c>
      <c r="C22" s="1" t="s">
        <v>6</v>
      </c>
      <c r="D22" s="20">
        <v>8.3077000000000004E-5</v>
      </c>
      <c r="E22" s="1" t="str">
        <f t="shared" si="2"/>
        <v>No</v>
      </c>
      <c r="F22" s="21">
        <v>7.7235775661386799E-2</v>
      </c>
      <c r="G22" s="1" t="str">
        <f t="shared" si="0"/>
        <v>Yes</v>
      </c>
      <c r="H22" s="1" t="str">
        <f t="shared" si="1"/>
        <v>No</v>
      </c>
    </row>
    <row r="23" spans="2:8" x14ac:dyDescent="0.25">
      <c r="F23" s="21"/>
    </row>
    <row r="25" spans="2:8" x14ac:dyDescent="0.25">
      <c r="B25" t="s">
        <v>1</v>
      </c>
      <c r="C25">
        <f>COUNTIF($C4:$C22,"Major")</f>
        <v>10</v>
      </c>
    </row>
    <row r="26" spans="2:8" x14ac:dyDescent="0.25">
      <c r="B26" t="s">
        <v>2</v>
      </c>
      <c r="C26">
        <f>COUNTIF($C4:$C22,"Minor")</f>
        <v>9</v>
      </c>
    </row>
    <row r="27" spans="2:8" x14ac:dyDescent="0.25">
      <c r="B27" t="s">
        <v>7</v>
      </c>
      <c r="C27">
        <f>SUM(C25:C26)</f>
        <v>19</v>
      </c>
    </row>
    <row r="28" spans="2:8" x14ac:dyDescent="0.25">
      <c r="B28" t="s">
        <v>9</v>
      </c>
      <c r="C28">
        <f>COUNTIF(E4:E22, "Yes")</f>
        <v>15</v>
      </c>
    </row>
    <row r="29" spans="2:8" x14ac:dyDescent="0.25">
      <c r="B29" t="s">
        <v>12</v>
      </c>
      <c r="C29">
        <f>COUNTIF(G4:G22, "Yes")</f>
        <v>10</v>
      </c>
    </row>
    <row r="30" spans="2:8" x14ac:dyDescent="0.25">
      <c r="B30" t="s">
        <v>13</v>
      </c>
      <c r="C30">
        <f>COUNTIF(H4:H22, "Yes")</f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B77FB-D712-4A2A-9C26-5F9858BAE29F}">
  <dimension ref="B2:H30"/>
  <sheetViews>
    <sheetView topLeftCell="C13" zoomScale="85" zoomScaleNormal="85" workbookViewId="0">
      <selection activeCell="E4" sqref="E4:E22"/>
    </sheetView>
  </sheetViews>
  <sheetFormatPr defaultRowHeight="15" x14ac:dyDescent="0.25"/>
  <cols>
    <col min="2" max="2" width="42.7109375" customWidth="1"/>
    <col min="3" max="3" width="29.5703125" customWidth="1"/>
    <col min="4" max="4" width="77" customWidth="1"/>
    <col min="5" max="5" width="33.42578125" customWidth="1"/>
    <col min="6" max="6" width="43.42578125" customWidth="1"/>
    <col min="7" max="7" width="27.28515625" customWidth="1"/>
    <col min="8" max="8" width="38.7109375" customWidth="1"/>
    <col min="9" max="9" width="13.42578125" customWidth="1"/>
    <col min="10" max="10" width="22.42578125" customWidth="1"/>
  </cols>
  <sheetData>
    <row r="2" spans="2:8" x14ac:dyDescent="0.25">
      <c r="B2" t="s">
        <v>28</v>
      </c>
    </row>
    <row r="3" spans="2:8" x14ac:dyDescent="0.25">
      <c r="B3" t="s">
        <v>3</v>
      </c>
      <c r="C3" t="s">
        <v>4</v>
      </c>
      <c r="D3" s="1" t="s">
        <v>25</v>
      </c>
      <c r="E3" s="1" t="s">
        <v>29</v>
      </c>
      <c r="F3" s="1" t="s">
        <v>11</v>
      </c>
      <c r="G3" s="1" t="s">
        <v>10</v>
      </c>
      <c r="H3" t="s">
        <v>26</v>
      </c>
    </row>
    <row r="4" spans="2:8" x14ac:dyDescent="0.25">
      <c r="B4" t="s">
        <v>30</v>
      </c>
      <c r="C4" s="1" t="s">
        <v>5</v>
      </c>
      <c r="D4" s="20">
        <v>4.4766000000000001E-4</v>
      </c>
      <c r="E4" s="1" t="str">
        <f>IF($C4 = "Major", IF($D4 &lt; 0.001, "Yes", "No"), IF($D4 &gt;= 0.001, "Yes", "No"))</f>
        <v>Yes</v>
      </c>
      <c r="F4" s="21">
        <v>9.3984604894827906E-2</v>
      </c>
      <c r="G4" s="1" t="str">
        <f>IF($C4="Major", IF($F4 &gt; 0.15, "Yes", "No"), IF($F4 &lt;= 0.15, "Yes", "No"))</f>
        <v>No</v>
      </c>
      <c r="H4" s="1" t="str">
        <f t="shared" ref="H4:H22" si="0">IF(OR( (AND(D4 &lt; 0.05, F4 &gt; 0.1)), (AND(D4 &gt;= 0.05, F4 &lt;= 0.1))), "Yes", "No")</f>
        <v>No</v>
      </c>
    </row>
    <row r="5" spans="2:8" x14ac:dyDescent="0.25">
      <c r="B5" t="s">
        <v>31</v>
      </c>
      <c r="C5" s="1" t="s">
        <v>5</v>
      </c>
      <c r="D5" s="20">
        <v>1.2039E-4</v>
      </c>
      <c r="E5" s="1" t="str">
        <f>IF($C5 = "Major", IF($D5 &lt; 0.001, "Yes", "No"), IF($D5 &gt;= 0.001, "Yes", "No"))</f>
        <v>Yes</v>
      </c>
      <c r="F5" s="21">
        <v>3.90941260204044E-2</v>
      </c>
      <c r="G5" s="1" t="str">
        <f t="shared" ref="G5:G22" si="1">IF($C5="Major", IF($F5 &gt; 0.15, "Yes", "No"), IF($F5 &lt;= 0.15, "Yes", "No"))</f>
        <v>No</v>
      </c>
      <c r="H5" s="1" t="str">
        <f t="shared" si="0"/>
        <v>No</v>
      </c>
    </row>
    <row r="6" spans="2:8" x14ac:dyDescent="0.25">
      <c r="B6" t="s">
        <v>32</v>
      </c>
      <c r="C6" s="1" t="s">
        <v>5</v>
      </c>
      <c r="D6" s="20">
        <v>9.4777000000000004E-3</v>
      </c>
      <c r="E6" s="1" t="str">
        <f>IF($C6 = "Major", IF($D6 &lt; 0.001, "Yes", "No"), IF($D6 &gt;= 0.001, "Yes", "No"))</f>
        <v>No</v>
      </c>
      <c r="F6" s="21">
        <v>3.9157140173577E-2</v>
      </c>
      <c r="G6" s="1" t="str">
        <f t="shared" si="1"/>
        <v>No</v>
      </c>
      <c r="H6" s="1" t="str">
        <f t="shared" si="0"/>
        <v>No</v>
      </c>
    </row>
    <row r="7" spans="2:8" x14ac:dyDescent="0.25">
      <c r="B7" t="s">
        <v>33</v>
      </c>
      <c r="C7" s="1" t="s">
        <v>5</v>
      </c>
      <c r="D7" s="20">
        <v>6.8495999999999996E-7</v>
      </c>
      <c r="E7" s="1" t="str">
        <f>IF($C7 = "Major", IF($D7 &lt; 0.001, "Yes", "No"), IF($D7 &gt;= 0.001, "Yes", "No"))</f>
        <v>Yes</v>
      </c>
      <c r="F7" s="21">
        <v>5.1802958907761799E-2</v>
      </c>
      <c r="G7" s="1" t="str">
        <f t="shared" si="1"/>
        <v>No</v>
      </c>
      <c r="H7" s="1" t="str">
        <f t="shared" si="0"/>
        <v>No</v>
      </c>
    </row>
    <row r="8" spans="2:8" x14ac:dyDescent="0.25">
      <c r="B8" t="s">
        <v>34</v>
      </c>
      <c r="C8" s="1" t="s">
        <v>6</v>
      </c>
      <c r="D8">
        <v>6.5124000000000001E-2</v>
      </c>
      <c r="E8" s="1" t="str">
        <f>IF($C8 = "Major", IF($D8 &lt; 0.001, "Yes", "No"), IF($D8 &gt;= 0.001, "Yes", "No"))</f>
        <v>Yes</v>
      </c>
      <c r="F8" s="21">
        <v>5.5230701442523698E-2</v>
      </c>
      <c r="G8" s="1" t="str">
        <f t="shared" si="1"/>
        <v>Yes</v>
      </c>
      <c r="H8" s="1" t="str">
        <f t="shared" si="0"/>
        <v>Yes</v>
      </c>
    </row>
    <row r="9" spans="2:8" x14ac:dyDescent="0.25">
      <c r="B9" t="s">
        <v>35</v>
      </c>
      <c r="C9" s="1" t="s">
        <v>6</v>
      </c>
      <c r="D9" s="20">
        <v>8.0957999999999996E-4</v>
      </c>
      <c r="E9" s="1" t="str">
        <f>IF($C9 = "Major", IF($D9 &lt; 0.001, "Yes", "No"), IF($D9 &gt;= 0.001, "Yes", "No"))</f>
        <v>No</v>
      </c>
      <c r="F9" s="21">
        <v>8.3826426822547401E-2</v>
      </c>
      <c r="G9" s="1" t="str">
        <f t="shared" si="1"/>
        <v>Yes</v>
      </c>
      <c r="H9" s="1" t="str">
        <f t="shared" si="0"/>
        <v>No</v>
      </c>
    </row>
    <row r="10" spans="2:8" x14ac:dyDescent="0.25">
      <c r="B10" t="s">
        <v>36</v>
      </c>
      <c r="C10" s="1" t="s">
        <v>5</v>
      </c>
      <c r="D10" s="20">
        <v>1.5844999999999999E-7</v>
      </c>
      <c r="E10" s="1" t="str">
        <f>IF($C10 = "Major", IF($D10 &lt; 0.001, "Yes", "No"), IF($D10 &gt;= 0.001, "Yes", "No"))</f>
        <v>Yes</v>
      </c>
      <c r="F10" s="21">
        <v>8.2912543463954394E-2</v>
      </c>
      <c r="G10" s="1" t="str">
        <f t="shared" si="1"/>
        <v>No</v>
      </c>
      <c r="H10" s="1" t="str">
        <f t="shared" si="0"/>
        <v>No</v>
      </c>
    </row>
    <row r="11" spans="2:8" x14ac:dyDescent="0.25">
      <c r="B11" t="s">
        <v>37</v>
      </c>
      <c r="C11" s="1" t="s">
        <v>5</v>
      </c>
      <c r="D11" s="20">
        <v>1.9613E-24</v>
      </c>
      <c r="E11" s="1" t="str">
        <f>IF($C11 = "Major", IF($D11 &lt; 0.001, "Yes", "No"), IF($D11 &gt;= 0.001, "Yes", "No"))</f>
        <v>Yes</v>
      </c>
      <c r="F11" s="21">
        <v>0.24175623501945501</v>
      </c>
      <c r="G11" s="1" t="str">
        <f t="shared" si="1"/>
        <v>Yes</v>
      </c>
      <c r="H11" s="1" t="str">
        <f t="shared" si="0"/>
        <v>Yes</v>
      </c>
    </row>
    <row r="12" spans="2:8" x14ac:dyDescent="0.25">
      <c r="B12" t="s">
        <v>38</v>
      </c>
      <c r="C12" s="1" t="s">
        <v>6</v>
      </c>
      <c r="D12">
        <v>0.91956000000000004</v>
      </c>
      <c r="E12" s="1" t="str">
        <f>IF($C12 = "Major", IF($D12 &lt; 0.001, "Yes", "No"), IF($D12 &gt;= 0.001, "Yes", "No"))</f>
        <v>Yes</v>
      </c>
      <c r="F12" s="21">
        <v>1.02865120119859E-2</v>
      </c>
      <c r="G12" s="1" t="str">
        <f t="shared" si="1"/>
        <v>Yes</v>
      </c>
      <c r="H12" s="1" t="str">
        <f t="shared" si="0"/>
        <v>Yes</v>
      </c>
    </row>
    <row r="13" spans="2:8" x14ac:dyDescent="0.25">
      <c r="B13" t="s">
        <v>39</v>
      </c>
      <c r="C13" s="1" t="s">
        <v>5</v>
      </c>
      <c r="D13" s="20">
        <v>3.1108000000000001E-5</v>
      </c>
      <c r="E13" s="1" t="str">
        <f>IF($C13 = "Major", IF($D13 &lt; 0.001, "Yes", "No"), IF($D13 &gt;= 0.001, "Yes", "No"))</f>
        <v>Yes</v>
      </c>
      <c r="F13" s="21">
        <v>1.47296972868937E-2</v>
      </c>
      <c r="G13" s="1" t="str">
        <f t="shared" si="1"/>
        <v>No</v>
      </c>
      <c r="H13" s="1" t="str">
        <f t="shared" si="0"/>
        <v>No</v>
      </c>
    </row>
    <row r="14" spans="2:8" x14ac:dyDescent="0.25">
      <c r="B14" t="s">
        <v>40</v>
      </c>
      <c r="C14" s="1" t="s">
        <v>6</v>
      </c>
      <c r="D14">
        <v>0.42742999999999998</v>
      </c>
      <c r="E14" s="1" t="str">
        <f>IF($C14 = "Major", IF($D14 &lt; 0.001, "Yes", "No"), IF($D14 &gt;= 0.001, "Yes", "No"))</f>
        <v>Yes</v>
      </c>
      <c r="F14" s="21">
        <v>5.8362673403129402E-3</v>
      </c>
      <c r="G14" s="1" t="str">
        <f t="shared" si="1"/>
        <v>Yes</v>
      </c>
      <c r="H14" s="1" t="str">
        <f t="shared" si="0"/>
        <v>Yes</v>
      </c>
    </row>
    <row r="15" spans="2:8" x14ac:dyDescent="0.25">
      <c r="B15" t="s">
        <v>41</v>
      </c>
      <c r="C15" s="1" t="s">
        <v>6</v>
      </c>
      <c r="D15">
        <v>0.21348</v>
      </c>
      <c r="E15" s="1" t="str">
        <f>IF($C15 = "Major", IF($D15 &lt; 0.001, "Yes", "No"), IF($D15 &gt;= 0.001, "Yes", "No"))</f>
        <v>Yes</v>
      </c>
      <c r="F15" s="21">
        <v>2.9031860698207602E-3</v>
      </c>
      <c r="G15" s="1" t="str">
        <f t="shared" si="1"/>
        <v>Yes</v>
      </c>
      <c r="H15" s="1" t="str">
        <f t="shared" si="0"/>
        <v>Yes</v>
      </c>
    </row>
    <row r="16" spans="2:8" x14ac:dyDescent="0.25">
      <c r="B16" t="s">
        <v>42</v>
      </c>
      <c r="C16" s="1" t="s">
        <v>5</v>
      </c>
      <c r="D16">
        <v>3.2316999999999999E-2</v>
      </c>
      <c r="E16" s="1" t="str">
        <f>IF($C16 = "Major", IF($D16 &lt; 0.001, "Yes", "No"), IF($D16 &gt;= 0.001, "Yes", "No"))</f>
        <v>No</v>
      </c>
      <c r="F16" s="21">
        <v>4.5976387108636703E-3</v>
      </c>
      <c r="G16" s="1" t="str">
        <f t="shared" si="1"/>
        <v>No</v>
      </c>
      <c r="H16" s="1" t="str">
        <f t="shared" si="0"/>
        <v>No</v>
      </c>
    </row>
    <row r="17" spans="2:8" x14ac:dyDescent="0.25">
      <c r="B17" t="s">
        <v>43</v>
      </c>
      <c r="C17" s="1" t="s">
        <v>6</v>
      </c>
      <c r="D17">
        <v>0.33599000000000001</v>
      </c>
      <c r="E17" s="1" t="str">
        <f>IF($C17 = "Major", IF($D17 &lt; 0.001, "Yes", "No"), IF($D17 &gt;= 0.001, "Yes", "No"))</f>
        <v>Yes</v>
      </c>
      <c r="F17" s="21">
        <v>2.51822104035666E-2</v>
      </c>
      <c r="G17" s="1" t="str">
        <f t="shared" si="1"/>
        <v>Yes</v>
      </c>
      <c r="H17" s="1" t="str">
        <f t="shared" si="0"/>
        <v>Yes</v>
      </c>
    </row>
    <row r="18" spans="2:8" x14ac:dyDescent="0.25">
      <c r="B18" t="s">
        <v>44</v>
      </c>
      <c r="C18" s="1" t="s">
        <v>5</v>
      </c>
      <c r="D18" s="20">
        <v>7.0868E-5</v>
      </c>
      <c r="E18" s="1" t="str">
        <f>IF($C18 = "Major", IF($D18 &lt; 0.001, "Yes", "No"), IF($D18 &gt;= 0.001, "Yes", "No"))</f>
        <v>Yes</v>
      </c>
      <c r="F18" s="21">
        <v>2.4219249081870401E-2</v>
      </c>
      <c r="G18" s="1" t="str">
        <f t="shared" si="1"/>
        <v>No</v>
      </c>
      <c r="H18" s="1" t="str">
        <f t="shared" si="0"/>
        <v>No</v>
      </c>
    </row>
    <row r="19" spans="2:8" x14ac:dyDescent="0.25">
      <c r="B19" t="s">
        <v>45</v>
      </c>
      <c r="C19" s="1" t="s">
        <v>6</v>
      </c>
      <c r="D19">
        <v>0.73111000000000004</v>
      </c>
      <c r="E19" s="1" t="str">
        <f>IF($C19 = "Major", IF($D19 &lt; 0.001, "Yes", "No"), IF($D19 &gt;= 0.001, "Yes", "No"))</f>
        <v>Yes</v>
      </c>
      <c r="F19" s="21">
        <v>4.6495231389214403E-3</v>
      </c>
      <c r="G19" s="1" t="str">
        <f t="shared" si="1"/>
        <v>Yes</v>
      </c>
      <c r="H19" s="1" t="str">
        <f t="shared" si="0"/>
        <v>Yes</v>
      </c>
    </row>
    <row r="20" spans="2:8" x14ac:dyDescent="0.25">
      <c r="B20" t="s">
        <v>46</v>
      </c>
      <c r="C20" s="1" t="s">
        <v>5</v>
      </c>
      <c r="D20" s="20">
        <v>1.1064999999999999E-6</v>
      </c>
      <c r="E20" s="1" t="str">
        <f>IF($C20 = "Major", IF($D20 &lt; 0.001, "Yes", "No"), IF($D20 &gt;= 0.001, "Yes", "No"))</f>
        <v>Yes</v>
      </c>
      <c r="F20" s="21">
        <v>8.9759149680617906E-2</v>
      </c>
      <c r="G20" s="1" t="str">
        <f t="shared" si="1"/>
        <v>No</v>
      </c>
      <c r="H20" s="1" t="str">
        <f t="shared" si="0"/>
        <v>No</v>
      </c>
    </row>
    <row r="21" spans="2:8" x14ac:dyDescent="0.25">
      <c r="B21" t="s">
        <v>47</v>
      </c>
      <c r="C21" s="1" t="s">
        <v>6</v>
      </c>
      <c r="D21">
        <v>0.12676000000000001</v>
      </c>
      <c r="E21" s="1" t="str">
        <f>IF($C21 = "Major", IF($D21 &lt; 0.001, "Yes", "No"), IF($D21 &gt;= 0.001, "Yes", "No"))</f>
        <v>Yes</v>
      </c>
      <c r="F21" s="21">
        <v>5.28360538687071E-2</v>
      </c>
      <c r="G21" s="1" t="str">
        <f t="shared" si="1"/>
        <v>Yes</v>
      </c>
      <c r="H21" s="1" t="str">
        <f t="shared" si="0"/>
        <v>Yes</v>
      </c>
    </row>
    <row r="22" spans="2:8" x14ac:dyDescent="0.25">
      <c r="B22" t="s">
        <v>48</v>
      </c>
      <c r="C22" s="1" t="s">
        <v>6</v>
      </c>
      <c r="D22" s="20">
        <v>8.3077000000000004E-5</v>
      </c>
      <c r="E22" s="1" t="str">
        <f>IF($C22 = "Major", IF($D22 &lt; 0.001, "Yes", "No"), IF($D22 &gt;= 0.001, "Yes", "No"))</f>
        <v>No</v>
      </c>
      <c r="F22" s="21">
        <v>7.7235775661386799E-2</v>
      </c>
      <c r="G22" s="1" t="str">
        <f t="shared" si="1"/>
        <v>Yes</v>
      </c>
      <c r="H22" s="1" t="str">
        <f t="shared" si="0"/>
        <v>No</v>
      </c>
    </row>
    <row r="23" spans="2:8" x14ac:dyDescent="0.25">
      <c r="F23" s="21"/>
    </row>
    <row r="25" spans="2:8" x14ac:dyDescent="0.25">
      <c r="B25" t="s">
        <v>1</v>
      </c>
      <c r="C25">
        <f>COUNTIF($C4:$C22,"Major")</f>
        <v>10</v>
      </c>
    </row>
    <row r="26" spans="2:8" x14ac:dyDescent="0.25">
      <c r="B26" t="s">
        <v>2</v>
      </c>
      <c r="C26">
        <f>COUNTIF($C4:$C22,"Minor")</f>
        <v>9</v>
      </c>
    </row>
    <row r="27" spans="2:8" x14ac:dyDescent="0.25">
      <c r="B27" t="s">
        <v>7</v>
      </c>
      <c r="C27">
        <f>SUM(C25:C26)</f>
        <v>19</v>
      </c>
    </row>
    <row r="28" spans="2:8" x14ac:dyDescent="0.25">
      <c r="B28" t="s">
        <v>9</v>
      </c>
      <c r="C28">
        <f>COUNTIF(E4:E22, "Yes")</f>
        <v>15</v>
      </c>
    </row>
    <row r="29" spans="2:8" x14ac:dyDescent="0.25">
      <c r="B29" t="s">
        <v>12</v>
      </c>
      <c r="C29">
        <f>COUNTIF(G4:G22, "Yes")</f>
        <v>10</v>
      </c>
    </row>
    <row r="30" spans="2:8" x14ac:dyDescent="0.25">
      <c r="B30" t="s">
        <v>13</v>
      </c>
      <c r="C30">
        <f>COUNTIF(H4:H22, "Yes")</f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AF082-5C2A-41B6-BB29-9054CE6CE062}">
  <dimension ref="A2:P38"/>
  <sheetViews>
    <sheetView tabSelected="1" topLeftCell="A25" zoomScaleNormal="100" workbookViewId="0">
      <selection activeCell="P12" sqref="P12"/>
    </sheetView>
  </sheetViews>
  <sheetFormatPr defaultRowHeight="15" x14ac:dyDescent="0.25"/>
  <cols>
    <col min="1" max="1" width="27" customWidth="1"/>
    <col min="3" max="3" width="18.42578125" customWidth="1"/>
    <col min="4" max="4" width="12.7109375" customWidth="1"/>
    <col min="7" max="7" width="27.5703125" customWidth="1"/>
    <col min="9" max="9" width="13.42578125" customWidth="1"/>
    <col min="10" max="10" width="12" customWidth="1"/>
    <col min="13" max="13" width="28.5703125" customWidth="1"/>
    <col min="15" max="15" width="14" customWidth="1"/>
  </cols>
  <sheetData>
    <row r="2" spans="1:16" x14ac:dyDescent="0.25">
      <c r="A2" s="2"/>
      <c r="B2" s="2"/>
      <c r="C2" s="2" t="s">
        <v>27</v>
      </c>
      <c r="D2" s="2">
        <v>0.05</v>
      </c>
      <c r="G2" s="3"/>
      <c r="H2" s="3"/>
      <c r="I2" s="3" t="s">
        <v>27</v>
      </c>
      <c r="J2" s="3">
        <v>0.05</v>
      </c>
      <c r="M2" s="4"/>
      <c r="N2" s="4"/>
      <c r="O2" s="4" t="s">
        <v>27</v>
      </c>
      <c r="P2" s="4">
        <v>0.05</v>
      </c>
    </row>
    <row r="3" spans="1:16" x14ac:dyDescent="0.25">
      <c r="A3" s="2" t="s">
        <v>21</v>
      </c>
      <c r="B3" s="2">
        <f>'Case 6 p 0.05 NFIM 0.05'!C28</f>
        <v>17</v>
      </c>
      <c r="C3" s="2" t="s">
        <v>24</v>
      </c>
      <c r="D3" s="2">
        <v>0.05</v>
      </c>
      <c r="G3" s="3" t="s">
        <v>21</v>
      </c>
      <c r="H3" s="3">
        <f>'Case 6 p 0.05 NFIM 0.10'!C28</f>
        <v>17</v>
      </c>
      <c r="I3" s="3" t="s">
        <v>24</v>
      </c>
      <c r="J3" s="3">
        <v>0.1</v>
      </c>
      <c r="M3" s="4" t="s">
        <v>21</v>
      </c>
      <c r="N3" s="4">
        <f>'Case 6 p 0.05 NFIM 0.15'!C28</f>
        <v>17</v>
      </c>
      <c r="O3" s="4" t="s">
        <v>24</v>
      </c>
      <c r="P3" s="4">
        <v>0.15</v>
      </c>
    </row>
    <row r="4" spans="1:16" x14ac:dyDescent="0.25">
      <c r="A4" s="2" t="s">
        <v>22</v>
      </c>
      <c r="B4" s="2">
        <f>'Case 6 p 0.05 NFIM 0.05'!C29</f>
        <v>10</v>
      </c>
      <c r="C4" s="2"/>
      <c r="D4" s="2"/>
      <c r="G4" s="3" t="s">
        <v>22</v>
      </c>
      <c r="H4" s="3">
        <f>'Case 6 p 0.05 NFIM 0.10'!C29</f>
        <v>10</v>
      </c>
      <c r="I4" s="3"/>
      <c r="J4" s="3"/>
      <c r="M4" s="4" t="s">
        <v>22</v>
      </c>
      <c r="N4" s="4">
        <f>'Case 6 p 0.05 NFIM 0.15'!C29</f>
        <v>10</v>
      </c>
      <c r="O4" s="4"/>
      <c r="P4" s="4"/>
    </row>
    <row r="5" spans="1:16" x14ac:dyDescent="0.25">
      <c r="A5" s="2" t="s">
        <v>23</v>
      </c>
      <c r="B5" s="2">
        <f>'Case 6 p 0.05 NFIM 0.05'!C30</f>
        <v>8</v>
      </c>
      <c r="C5" s="2"/>
      <c r="D5" s="2"/>
      <c r="G5" s="3" t="s">
        <v>23</v>
      </c>
      <c r="H5" s="3">
        <f>'Case 6 p 0.05 NFIM 0.10'!C30</f>
        <v>8</v>
      </c>
      <c r="I5" s="3"/>
      <c r="J5" s="3"/>
      <c r="M5" s="4" t="s">
        <v>23</v>
      </c>
      <c r="N5" s="4">
        <f>'Case 6 p 0.05 NFIM 0.15'!C30</f>
        <v>8</v>
      </c>
      <c r="O5" s="4"/>
      <c r="P5" s="4"/>
    </row>
    <row r="6" spans="1:16" x14ac:dyDescent="0.25">
      <c r="A6" s="2" t="s">
        <v>8</v>
      </c>
      <c r="B6" s="2">
        <v>19</v>
      </c>
      <c r="C6" s="2"/>
      <c r="D6" s="2"/>
      <c r="G6" s="3" t="s">
        <v>8</v>
      </c>
      <c r="H6" s="3">
        <v>19</v>
      </c>
      <c r="I6" s="3"/>
      <c r="J6" s="3"/>
      <c r="M6" s="4" t="s">
        <v>8</v>
      </c>
      <c r="N6" s="4">
        <v>19</v>
      </c>
      <c r="O6" s="4"/>
      <c r="P6" s="4"/>
    </row>
    <row r="7" spans="1:16" x14ac:dyDescent="0.25">
      <c r="A7" s="2"/>
      <c r="B7" s="2"/>
      <c r="C7" s="2"/>
      <c r="D7" s="2"/>
      <c r="G7" s="3"/>
      <c r="H7" s="3"/>
      <c r="I7" s="3"/>
      <c r="J7" s="3"/>
      <c r="M7" s="4"/>
      <c r="N7" s="4"/>
      <c r="O7" s="4"/>
      <c r="P7" s="4"/>
    </row>
    <row r="8" spans="1:16" x14ac:dyDescent="0.25">
      <c r="A8" s="2" t="s">
        <v>17</v>
      </c>
      <c r="B8" s="2" t="s">
        <v>14</v>
      </c>
      <c r="C8" s="2" t="s">
        <v>20</v>
      </c>
      <c r="D8" s="2" t="s">
        <v>19</v>
      </c>
      <c r="G8" s="3" t="s">
        <v>17</v>
      </c>
      <c r="H8" s="3" t="s">
        <v>14</v>
      </c>
      <c r="I8" s="3" t="s">
        <v>20</v>
      </c>
      <c r="J8" s="3" t="s">
        <v>19</v>
      </c>
      <c r="M8" s="4" t="s">
        <v>17</v>
      </c>
      <c r="N8" s="4" t="s">
        <v>14</v>
      </c>
      <c r="O8" s="4" t="s">
        <v>20</v>
      </c>
      <c r="P8" s="4" t="s">
        <v>19</v>
      </c>
    </row>
    <row r="9" spans="1:16" x14ac:dyDescent="0.25">
      <c r="A9" s="2" t="s">
        <v>15</v>
      </c>
      <c r="B9" s="2">
        <f>B3</f>
        <v>17</v>
      </c>
      <c r="C9" s="2">
        <f>B6</f>
        <v>19</v>
      </c>
      <c r="D9" s="2"/>
      <c r="G9" s="3" t="s">
        <v>15</v>
      </c>
      <c r="H9" s="3">
        <f>H3</f>
        <v>17</v>
      </c>
      <c r="I9" s="3">
        <f>H6</f>
        <v>19</v>
      </c>
      <c r="J9" s="3"/>
      <c r="M9" s="4" t="s">
        <v>15</v>
      </c>
      <c r="N9" s="4">
        <f>N3</f>
        <v>17</v>
      </c>
      <c r="O9" s="4">
        <f>N6</f>
        <v>19</v>
      </c>
      <c r="P9" s="4"/>
    </row>
    <row r="10" spans="1:16" x14ac:dyDescent="0.25">
      <c r="A10" s="2" t="s">
        <v>16</v>
      </c>
      <c r="B10" s="2">
        <f>B4</f>
        <v>10</v>
      </c>
      <c r="C10" s="2">
        <f>B6</f>
        <v>19</v>
      </c>
      <c r="D10" s="2"/>
      <c r="G10" s="3" t="s">
        <v>16</v>
      </c>
      <c r="H10" s="3">
        <f>H4</f>
        <v>10</v>
      </c>
      <c r="I10" s="3">
        <f>H6</f>
        <v>19</v>
      </c>
      <c r="J10" s="3"/>
      <c r="M10" s="4" t="s">
        <v>16</v>
      </c>
      <c r="N10" s="4">
        <f>N4</f>
        <v>10</v>
      </c>
      <c r="O10" s="4">
        <f>N6</f>
        <v>19</v>
      </c>
      <c r="P10" s="4"/>
    </row>
    <row r="11" spans="1:16" x14ac:dyDescent="0.25">
      <c r="A11" s="2" t="s">
        <v>18</v>
      </c>
      <c r="B11" s="5">
        <f>ROUND((0.5*(LOG10(B5/B6)+1)*B6)*10,0)/10</f>
        <v>5.9</v>
      </c>
      <c r="C11" s="2">
        <f>B6*0.5</f>
        <v>9.5</v>
      </c>
      <c r="D11" s="2"/>
      <c r="G11" s="3" t="s">
        <v>18</v>
      </c>
      <c r="H11" s="6">
        <f>ROUND((0.5*(LOG10(H5/H6)+1)*H6)*10,0)/10</f>
        <v>5.9</v>
      </c>
      <c r="I11" s="3">
        <f>H6*0.5</f>
        <v>9.5</v>
      </c>
      <c r="J11" s="3"/>
      <c r="M11" s="4" t="s">
        <v>18</v>
      </c>
      <c r="N11" s="7">
        <f>ROUND((0.5*(LOG10(N5/N6)+1)*N6)*10,0)/10</f>
        <v>5.9</v>
      </c>
      <c r="O11" s="4">
        <f>N6*0.5</f>
        <v>9.5</v>
      </c>
      <c r="P11" s="4"/>
    </row>
    <row r="12" spans="1:16" x14ac:dyDescent="0.25">
      <c r="A12" s="2" t="s">
        <v>0</v>
      </c>
      <c r="B12" s="2">
        <f>ROUND(SUM(B9:B11)*10,0)/10</f>
        <v>32.9</v>
      </c>
      <c r="C12" s="2">
        <f>SUM(C9:C11)</f>
        <v>47.5</v>
      </c>
      <c r="D12" s="5">
        <f>100*B12/C12</f>
        <v>69.263157894736835</v>
      </c>
      <c r="G12" s="3" t="s">
        <v>0</v>
      </c>
      <c r="H12" s="3">
        <f>ROUND(SUM(H9:H11)*10,0)/10</f>
        <v>32.9</v>
      </c>
      <c r="I12" s="3">
        <f>SUM(I9:I11)</f>
        <v>47.5</v>
      </c>
      <c r="J12" s="6">
        <f>100*H12/I12</f>
        <v>69.263157894736835</v>
      </c>
      <c r="M12" s="4" t="s">
        <v>0</v>
      </c>
      <c r="N12" s="4">
        <f>ROUND(SUM(N9:N11)*10,0)/10</f>
        <v>32.9</v>
      </c>
      <c r="O12" s="4">
        <f>SUM(O9:O11)</f>
        <v>47.5</v>
      </c>
      <c r="P12" s="7">
        <f>100*N12/O12</f>
        <v>69.263157894736835</v>
      </c>
    </row>
    <row r="15" spans="1:16" x14ac:dyDescent="0.25">
      <c r="A15" s="8"/>
      <c r="B15" s="8"/>
      <c r="C15" s="8" t="s">
        <v>27</v>
      </c>
      <c r="D15" s="8">
        <v>0.01</v>
      </c>
      <c r="G15" s="9"/>
      <c r="H15" s="9"/>
      <c r="I15" s="9" t="s">
        <v>27</v>
      </c>
      <c r="J15" s="9">
        <v>0.01</v>
      </c>
      <c r="M15" s="10"/>
      <c r="N15" s="10"/>
      <c r="O15" s="10" t="s">
        <v>27</v>
      </c>
      <c r="P15" s="10">
        <v>0.01</v>
      </c>
    </row>
    <row r="16" spans="1:16" x14ac:dyDescent="0.25">
      <c r="A16" s="8" t="s">
        <v>21</v>
      </c>
      <c r="B16" s="8">
        <f>'Case 6 p 0.01 NFIM 0.05'!C28</f>
        <v>16</v>
      </c>
      <c r="C16" s="8" t="s">
        <v>24</v>
      </c>
      <c r="D16" s="8">
        <v>0.05</v>
      </c>
      <c r="G16" s="9" t="s">
        <v>21</v>
      </c>
      <c r="H16" s="9">
        <f>'Case 6 p 0.01 NFIM 0.10'!C28</f>
        <v>16</v>
      </c>
      <c r="I16" s="9" t="s">
        <v>24</v>
      </c>
      <c r="J16" s="9">
        <v>0.1</v>
      </c>
      <c r="M16" s="10" t="s">
        <v>21</v>
      </c>
      <c r="N16" s="10">
        <f>'Case 6 p 0.01 NFIM 0.15'!C28</f>
        <v>16</v>
      </c>
      <c r="O16" s="10" t="s">
        <v>24</v>
      </c>
      <c r="P16" s="10">
        <v>0.15</v>
      </c>
    </row>
    <row r="17" spans="1:16" x14ac:dyDescent="0.25">
      <c r="A17" s="8" t="s">
        <v>22</v>
      </c>
      <c r="B17" s="8">
        <f>'Case 6 p 0.01 NFIM 0.05'!C29</f>
        <v>10</v>
      </c>
      <c r="C17" s="8"/>
      <c r="D17" s="8"/>
      <c r="G17" s="9" t="s">
        <v>22</v>
      </c>
      <c r="H17" s="9">
        <f>'Case 6 p 0.01 NFIM 0.10'!C29</f>
        <v>10</v>
      </c>
      <c r="I17" s="9"/>
      <c r="J17" s="9"/>
      <c r="M17" s="10" t="s">
        <v>22</v>
      </c>
      <c r="N17" s="10">
        <f>'Case 6 p 0.01 NFIM 0.15'!C29</f>
        <v>10</v>
      </c>
      <c r="O17" s="10"/>
      <c r="P17" s="10"/>
    </row>
    <row r="18" spans="1:16" x14ac:dyDescent="0.25">
      <c r="A18" s="8" t="s">
        <v>23</v>
      </c>
      <c r="B18" s="8">
        <f>'Case 6 p 0.01 NFIM 0.05'!C30</f>
        <v>8</v>
      </c>
      <c r="C18" s="8"/>
      <c r="D18" s="8"/>
      <c r="G18" s="9" t="s">
        <v>23</v>
      </c>
      <c r="H18" s="9">
        <f>'Case 6 p 0.01 NFIM 0.10'!C30</f>
        <v>8</v>
      </c>
      <c r="I18" s="9"/>
      <c r="J18" s="9"/>
      <c r="M18" s="10" t="s">
        <v>23</v>
      </c>
      <c r="N18" s="10">
        <f>'Case 6 p 0.01 NFIM 0.15'!C30</f>
        <v>8</v>
      </c>
      <c r="O18" s="10"/>
      <c r="P18" s="10"/>
    </row>
    <row r="19" spans="1:16" x14ac:dyDescent="0.25">
      <c r="A19" s="8" t="s">
        <v>8</v>
      </c>
      <c r="B19" s="8">
        <v>19</v>
      </c>
      <c r="C19" s="8"/>
      <c r="D19" s="8"/>
      <c r="G19" s="9" t="s">
        <v>8</v>
      </c>
      <c r="H19" s="9">
        <v>19</v>
      </c>
      <c r="I19" s="9"/>
      <c r="J19" s="9"/>
      <c r="M19" s="10" t="s">
        <v>8</v>
      </c>
      <c r="N19" s="10">
        <v>19</v>
      </c>
      <c r="O19" s="10"/>
      <c r="P19" s="10"/>
    </row>
    <row r="20" spans="1:16" x14ac:dyDescent="0.25">
      <c r="A20" s="8"/>
      <c r="B20" s="8"/>
      <c r="C20" s="8"/>
      <c r="D20" s="8"/>
      <c r="G20" s="9"/>
      <c r="H20" s="9"/>
      <c r="I20" s="9"/>
      <c r="J20" s="9"/>
      <c r="M20" s="10"/>
      <c r="N20" s="10"/>
      <c r="O20" s="10"/>
      <c r="P20" s="10"/>
    </row>
    <row r="21" spans="1:16" x14ac:dyDescent="0.25">
      <c r="A21" s="8" t="s">
        <v>17</v>
      </c>
      <c r="B21" s="8" t="s">
        <v>14</v>
      </c>
      <c r="C21" s="8" t="s">
        <v>20</v>
      </c>
      <c r="D21" s="8" t="s">
        <v>19</v>
      </c>
      <c r="G21" s="9" t="s">
        <v>17</v>
      </c>
      <c r="H21" s="9" t="s">
        <v>14</v>
      </c>
      <c r="I21" s="9" t="s">
        <v>20</v>
      </c>
      <c r="J21" s="9" t="s">
        <v>19</v>
      </c>
      <c r="M21" s="10" t="s">
        <v>17</v>
      </c>
      <c r="N21" s="10" t="s">
        <v>14</v>
      </c>
      <c r="O21" s="10" t="s">
        <v>20</v>
      </c>
      <c r="P21" s="10" t="s">
        <v>19</v>
      </c>
    </row>
    <row r="22" spans="1:16" x14ac:dyDescent="0.25">
      <c r="A22" s="8" t="s">
        <v>15</v>
      </c>
      <c r="B22" s="8">
        <f>B16</f>
        <v>16</v>
      </c>
      <c r="C22" s="8">
        <f>B19</f>
        <v>19</v>
      </c>
      <c r="D22" s="8"/>
      <c r="G22" s="9" t="s">
        <v>15</v>
      </c>
      <c r="H22" s="9">
        <f>H16</f>
        <v>16</v>
      </c>
      <c r="I22" s="9">
        <f>H19</f>
        <v>19</v>
      </c>
      <c r="J22" s="9"/>
      <c r="M22" s="10" t="s">
        <v>15</v>
      </c>
      <c r="N22" s="10">
        <f>N16</f>
        <v>16</v>
      </c>
      <c r="O22" s="10">
        <f>N19</f>
        <v>19</v>
      </c>
      <c r="P22" s="10"/>
    </row>
    <row r="23" spans="1:16" x14ac:dyDescent="0.25">
      <c r="A23" s="8" t="s">
        <v>16</v>
      </c>
      <c r="B23" s="8">
        <f>B17</f>
        <v>10</v>
      </c>
      <c r="C23" s="8">
        <f>B19</f>
        <v>19</v>
      </c>
      <c r="D23" s="8"/>
      <c r="G23" s="9" t="s">
        <v>16</v>
      </c>
      <c r="H23" s="9">
        <f>H17</f>
        <v>10</v>
      </c>
      <c r="I23" s="9">
        <f>H19</f>
        <v>19</v>
      </c>
      <c r="J23" s="9"/>
      <c r="M23" s="10" t="s">
        <v>16</v>
      </c>
      <c r="N23" s="10">
        <f>N17</f>
        <v>10</v>
      </c>
      <c r="O23" s="10">
        <f>N19</f>
        <v>19</v>
      </c>
      <c r="P23" s="10"/>
    </row>
    <row r="24" spans="1:16" x14ac:dyDescent="0.25">
      <c r="A24" s="8" t="s">
        <v>18</v>
      </c>
      <c r="B24" s="11">
        <f>ROUND((0.5*(LOG10(B18/B19)+1)*B19)*10,0)/10</f>
        <v>5.9</v>
      </c>
      <c r="C24" s="8">
        <f>B19*0.5</f>
        <v>9.5</v>
      </c>
      <c r="D24" s="8"/>
      <c r="G24" s="9" t="s">
        <v>18</v>
      </c>
      <c r="H24" s="12">
        <f>ROUND((0.5*(LOG10(H18/H19)+1)*H19)*10,0)/10</f>
        <v>5.9</v>
      </c>
      <c r="I24" s="9">
        <f>H19*0.5</f>
        <v>9.5</v>
      </c>
      <c r="J24" s="9"/>
      <c r="M24" s="10" t="s">
        <v>18</v>
      </c>
      <c r="N24" s="13">
        <f>ROUND((0.5*(LOG10(N18/N19)+1)*N19)*10,0)/10</f>
        <v>5.9</v>
      </c>
      <c r="O24" s="10">
        <f>N19*0.5</f>
        <v>9.5</v>
      </c>
      <c r="P24" s="10"/>
    </row>
    <row r="25" spans="1:16" x14ac:dyDescent="0.25">
      <c r="A25" s="8" t="s">
        <v>0</v>
      </c>
      <c r="B25" s="8">
        <f>ROUND(SUM(B22:B24)*10,0)/10</f>
        <v>31.9</v>
      </c>
      <c r="C25" s="8">
        <f>SUM(C22:C24)</f>
        <v>47.5</v>
      </c>
      <c r="D25" s="11">
        <f>100*B25/C25</f>
        <v>67.15789473684211</v>
      </c>
      <c r="G25" s="9" t="s">
        <v>0</v>
      </c>
      <c r="H25" s="9">
        <f>ROUND(SUM(H22:H24)*10,0)/10</f>
        <v>31.9</v>
      </c>
      <c r="I25" s="9">
        <f>SUM(I22:I24)</f>
        <v>47.5</v>
      </c>
      <c r="J25" s="12">
        <f>100*H25/I25</f>
        <v>67.15789473684211</v>
      </c>
      <c r="M25" s="10" t="s">
        <v>0</v>
      </c>
      <c r="N25" s="10">
        <f>ROUND(SUM(N22:N24)*10,0)/10</f>
        <v>31.9</v>
      </c>
      <c r="O25" s="10">
        <f>SUM(O22:O24)</f>
        <v>47.5</v>
      </c>
      <c r="P25" s="13">
        <f>100*N25/O25</f>
        <v>67.15789473684211</v>
      </c>
    </row>
    <row r="28" spans="1:16" x14ac:dyDescent="0.25">
      <c r="A28" s="14"/>
      <c r="B28" s="14"/>
      <c r="C28" s="14" t="s">
        <v>27</v>
      </c>
      <c r="D28" s="14">
        <v>1E-3</v>
      </c>
      <c r="G28" s="15"/>
      <c r="H28" s="15"/>
      <c r="I28" s="15" t="s">
        <v>27</v>
      </c>
      <c r="J28" s="15">
        <v>1E-3</v>
      </c>
      <c r="M28" s="16"/>
      <c r="N28" s="16"/>
      <c r="O28" s="16" t="s">
        <v>27</v>
      </c>
      <c r="P28" s="16">
        <v>1E-3</v>
      </c>
    </row>
    <row r="29" spans="1:16" x14ac:dyDescent="0.25">
      <c r="A29" s="14" t="s">
        <v>21</v>
      </c>
      <c r="B29" s="14">
        <f>'Case 6 p 0.001 NFIM 0.05'!C28</f>
        <v>15</v>
      </c>
      <c r="C29" s="14" t="s">
        <v>24</v>
      </c>
      <c r="D29" s="14">
        <v>0.05</v>
      </c>
      <c r="G29" s="15" t="s">
        <v>21</v>
      </c>
      <c r="H29" s="15">
        <f>'Case 6 p 0.001 NFIM 0.10'!C28</f>
        <v>15</v>
      </c>
      <c r="I29" s="15" t="s">
        <v>24</v>
      </c>
      <c r="J29" s="15">
        <v>0.1</v>
      </c>
      <c r="M29" s="16" t="s">
        <v>21</v>
      </c>
      <c r="N29" s="16">
        <f>'Case 6 p 0.001 NFIM 0.15'!C28</f>
        <v>15</v>
      </c>
      <c r="O29" s="16" t="s">
        <v>24</v>
      </c>
      <c r="P29" s="16">
        <v>0.15</v>
      </c>
    </row>
    <row r="30" spans="1:16" x14ac:dyDescent="0.25">
      <c r="A30" s="14" t="s">
        <v>22</v>
      </c>
      <c r="B30" s="14">
        <f>'Case 6 p 0.001 NFIM 0.05'!C29</f>
        <v>10</v>
      </c>
      <c r="C30" s="14"/>
      <c r="D30" s="14"/>
      <c r="G30" s="15" t="s">
        <v>22</v>
      </c>
      <c r="H30" s="15">
        <f>'Case 6 p 0.001 NFIM 0.10'!C29</f>
        <v>10</v>
      </c>
      <c r="I30" s="15"/>
      <c r="J30" s="15"/>
      <c r="M30" s="16" t="s">
        <v>22</v>
      </c>
      <c r="N30" s="16">
        <f>'Case 6 p 0.001 NFIM 0.15'!C29</f>
        <v>10</v>
      </c>
      <c r="O30" s="16"/>
      <c r="P30" s="16"/>
    </row>
    <row r="31" spans="1:16" x14ac:dyDescent="0.25">
      <c r="A31" s="14" t="s">
        <v>23</v>
      </c>
      <c r="B31" s="14">
        <f>'Case 6 p 0.001 NFIM 0.05'!C30</f>
        <v>8</v>
      </c>
      <c r="C31" s="14"/>
      <c r="D31" s="14"/>
      <c r="G31" s="15" t="s">
        <v>23</v>
      </c>
      <c r="H31" s="15">
        <f>'Case 6 p 0.001 NFIM 0.10'!C30</f>
        <v>8</v>
      </c>
      <c r="I31" s="15"/>
      <c r="J31" s="15"/>
      <c r="M31" s="16" t="s">
        <v>23</v>
      </c>
      <c r="N31" s="16">
        <f>'Case 6 p 0.001 NFIM 0.15'!C30</f>
        <v>8</v>
      </c>
      <c r="O31" s="16"/>
      <c r="P31" s="16"/>
    </row>
    <row r="32" spans="1:16" x14ac:dyDescent="0.25">
      <c r="A32" s="14" t="s">
        <v>8</v>
      </c>
      <c r="B32" s="14">
        <v>19</v>
      </c>
      <c r="C32" s="14"/>
      <c r="D32" s="14"/>
      <c r="G32" s="15" t="s">
        <v>8</v>
      </c>
      <c r="H32" s="15">
        <v>19</v>
      </c>
      <c r="I32" s="15"/>
      <c r="J32" s="15"/>
      <c r="M32" s="16" t="s">
        <v>8</v>
      </c>
      <c r="N32" s="16">
        <v>19</v>
      </c>
      <c r="O32" s="16"/>
      <c r="P32" s="16"/>
    </row>
    <row r="33" spans="1:16" x14ac:dyDescent="0.25">
      <c r="A33" s="14"/>
      <c r="B33" s="14"/>
      <c r="C33" s="14"/>
      <c r="D33" s="14"/>
      <c r="G33" s="15"/>
      <c r="H33" s="15"/>
      <c r="I33" s="15"/>
      <c r="J33" s="15"/>
      <c r="M33" s="16"/>
      <c r="N33" s="16"/>
      <c r="O33" s="16"/>
      <c r="P33" s="16"/>
    </row>
    <row r="34" spans="1:16" x14ac:dyDescent="0.25">
      <c r="A34" s="14" t="s">
        <v>17</v>
      </c>
      <c r="B34" s="14" t="s">
        <v>14</v>
      </c>
      <c r="C34" s="14" t="s">
        <v>20</v>
      </c>
      <c r="D34" s="14" t="s">
        <v>19</v>
      </c>
      <c r="G34" s="15" t="s">
        <v>17</v>
      </c>
      <c r="H34" s="15" t="s">
        <v>14</v>
      </c>
      <c r="I34" s="15" t="s">
        <v>20</v>
      </c>
      <c r="J34" s="15" t="s">
        <v>19</v>
      </c>
      <c r="M34" s="16" t="s">
        <v>17</v>
      </c>
      <c r="N34" s="16" t="s">
        <v>14</v>
      </c>
      <c r="O34" s="16" t="s">
        <v>20</v>
      </c>
      <c r="P34" s="16" t="s">
        <v>19</v>
      </c>
    </row>
    <row r="35" spans="1:16" x14ac:dyDescent="0.25">
      <c r="A35" s="14" t="s">
        <v>15</v>
      </c>
      <c r="B35" s="14">
        <f>B29</f>
        <v>15</v>
      </c>
      <c r="C35" s="14">
        <f>B32</f>
        <v>19</v>
      </c>
      <c r="D35" s="14"/>
      <c r="G35" s="15" t="s">
        <v>15</v>
      </c>
      <c r="H35" s="15">
        <f>H29</f>
        <v>15</v>
      </c>
      <c r="I35" s="15">
        <f>H32</f>
        <v>19</v>
      </c>
      <c r="J35" s="15"/>
      <c r="M35" s="16" t="s">
        <v>15</v>
      </c>
      <c r="N35" s="16">
        <f>N29</f>
        <v>15</v>
      </c>
      <c r="O35" s="16">
        <f>N32</f>
        <v>19</v>
      </c>
      <c r="P35" s="16"/>
    </row>
    <row r="36" spans="1:16" x14ac:dyDescent="0.25">
      <c r="A36" s="14" t="s">
        <v>16</v>
      </c>
      <c r="B36" s="14">
        <f>B30</f>
        <v>10</v>
      </c>
      <c r="C36" s="14">
        <f>B32</f>
        <v>19</v>
      </c>
      <c r="D36" s="14"/>
      <c r="G36" s="15" t="s">
        <v>16</v>
      </c>
      <c r="H36" s="15">
        <f>H30</f>
        <v>10</v>
      </c>
      <c r="I36" s="15">
        <f>H32</f>
        <v>19</v>
      </c>
      <c r="J36" s="15"/>
      <c r="M36" s="16" t="s">
        <v>16</v>
      </c>
      <c r="N36" s="16">
        <f>N30</f>
        <v>10</v>
      </c>
      <c r="O36" s="16">
        <f>N32</f>
        <v>19</v>
      </c>
      <c r="P36" s="16"/>
    </row>
    <row r="37" spans="1:16" x14ac:dyDescent="0.25">
      <c r="A37" s="14" t="s">
        <v>18</v>
      </c>
      <c r="B37" s="17">
        <f>ROUND((0.5*(LOG10(B31/B32)+1)*B32)*10,0)/10</f>
        <v>5.9</v>
      </c>
      <c r="C37" s="14">
        <f>B32*0.5</f>
        <v>9.5</v>
      </c>
      <c r="D37" s="14"/>
      <c r="G37" s="15" t="s">
        <v>18</v>
      </c>
      <c r="H37" s="18">
        <f>ROUND((0.5*(LOG10(H31/H32)+1)*H32)*10,0)/10</f>
        <v>5.9</v>
      </c>
      <c r="I37" s="15">
        <f>H32*0.5</f>
        <v>9.5</v>
      </c>
      <c r="J37" s="15"/>
      <c r="M37" s="16" t="s">
        <v>18</v>
      </c>
      <c r="N37" s="19">
        <f>ROUND((0.5*(LOG10(N31/N32)+1)*N32)*10,0)/10</f>
        <v>5.9</v>
      </c>
      <c r="O37" s="16">
        <f>N32*0.5</f>
        <v>9.5</v>
      </c>
      <c r="P37" s="16"/>
    </row>
    <row r="38" spans="1:16" x14ac:dyDescent="0.25">
      <c r="A38" s="14" t="s">
        <v>0</v>
      </c>
      <c r="B38" s="14">
        <f>ROUND(SUM(B35:B37)*10,0)/10</f>
        <v>30.9</v>
      </c>
      <c r="C38" s="14">
        <f>SUM(C35:C37)</f>
        <v>47.5</v>
      </c>
      <c r="D38" s="17">
        <f>100*B38/C38</f>
        <v>65.05263157894737</v>
      </c>
      <c r="G38" s="15" t="s">
        <v>0</v>
      </c>
      <c r="H38" s="15">
        <f>ROUND(SUM(H35:H37)*10,0)/10</f>
        <v>30.9</v>
      </c>
      <c r="I38" s="15">
        <f>SUM(I35:I37)</f>
        <v>47.5</v>
      </c>
      <c r="J38" s="18">
        <f>100*H38/I38</f>
        <v>65.05263157894737</v>
      </c>
      <c r="M38" s="16" t="s">
        <v>0</v>
      </c>
      <c r="N38" s="16">
        <f>ROUND(SUM(N35:N37)*10,0)/10</f>
        <v>30.9</v>
      </c>
      <c r="O38" s="16">
        <f>SUM(O35:O37)</f>
        <v>47.5</v>
      </c>
      <c r="P38" s="19">
        <f>100*N38/O38</f>
        <v>65.05263157894737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00DF0A54786447A2924B141CC106E8" ma:contentTypeVersion="8" ma:contentTypeDescription="Create a new document." ma:contentTypeScope="" ma:versionID="ddae0242d7967be73c4526d8f15d3e11">
  <xsd:schema xmlns:xsd="http://www.w3.org/2001/XMLSchema" xmlns:xs="http://www.w3.org/2001/XMLSchema" xmlns:p="http://schemas.microsoft.com/office/2006/metadata/properties" xmlns:ns3="fccddef3-f2d2-4120-8d26-36e1e6aaa8da" targetNamespace="http://schemas.microsoft.com/office/2006/metadata/properties" ma:root="true" ma:fieldsID="90d32136de9a6c0e32feb7f3be2c70f4" ns3:_="">
    <xsd:import namespace="fccddef3-f2d2-4120-8d26-36e1e6aaa8d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cddef3-f2d2-4120-8d26-36e1e6aaa8d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8575B06-44CA-4270-A484-169AC4DE4B70}">
  <ds:schemaRefs>
    <ds:schemaRef ds:uri="http://schemas.microsoft.com/office/infopath/2007/PartnerControls"/>
    <ds:schemaRef ds:uri="fccddef3-f2d2-4120-8d26-36e1e6aaa8da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schemas.microsoft.com/office/2006/metadata/properties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6DAF9B17-B33E-4BD2-A531-65E62014B9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cddef3-f2d2-4120-8d26-36e1e6aaa8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CD5C883-19B8-437D-920B-B5163CB77D4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Case 6 p 0.05 NFIM 0.05</vt:lpstr>
      <vt:lpstr>Case 6 p 0.05 NFIM 0.10</vt:lpstr>
      <vt:lpstr>Case 6 p 0.05 NFIM 0.15</vt:lpstr>
      <vt:lpstr>Case 6 p 0.01 NFIM 0.05</vt:lpstr>
      <vt:lpstr>Case 6 p 0.01 NFIM 0.10</vt:lpstr>
      <vt:lpstr>Case 6 p 0.01 NFIM 0.15</vt:lpstr>
      <vt:lpstr>Case 6 p 0.001 NFIM 0.05</vt:lpstr>
      <vt:lpstr>Case 6 p 0.001 NFIM 0.10</vt:lpstr>
      <vt:lpstr>Case 6 p 0.001 NFIM 0.15</vt:lpstr>
      <vt:lpstr>Case 6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Godwyn Idris Lozada</dc:creator>
  <cp:lastModifiedBy>Godwyn Idris Lozada</cp:lastModifiedBy>
  <dcterms:created xsi:type="dcterms:W3CDTF">2026-03-23T03:54:42Z</dcterms:created>
  <dcterms:modified xsi:type="dcterms:W3CDTF">2026-10-13T10:40:24Z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0x0101007800DF0A54786447A2924B141CC106E8</vt:lpwstr>
  </property>
</Properties>
</file>