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703B7514-CAE2-4E3E-83EB-49D416B3E00D}" xr6:coauthVersionLast="47" xr6:coauthVersionMax="47" xr10:uidLastSave="{00000000-0000-0000-0000-000000000000}"/>
  <bookViews>
    <workbookView xWindow="-120" yWindow="-120" windowWidth="29040" windowHeight="15720" firstSheet="1" activeTab="8" xr2:uid="{8DD322BC-5D02-4870-BCD5-40063F203D6D}"/>
  </bookViews>
  <sheets>
    <sheet name="Case 1" sheetId="5" r:id="rId1"/>
    <sheet name="Case 2" sheetId="8" r:id="rId2"/>
    <sheet name="Case 3" sheetId="16" r:id="rId3"/>
    <sheet name="Case 4" sheetId="35" r:id="rId4"/>
    <sheet name="Case 5A" sheetId="10" r:id="rId5"/>
    <sheet name="Case 5B" sheetId="23" r:id="rId6"/>
    <sheet name="Case 5C" sheetId="12" r:id="rId7"/>
    <sheet name="Case 5D" sheetId="11" r:id="rId8"/>
    <sheet name="Case 6" sheetId="30" r:id="rId9"/>
    <sheet name="Alignment Score Computation" sheetId="39" r:id="rId10"/>
    <sheet name="Alignment Scores Summary" sheetId="3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3" l="1"/>
  <c r="C12" i="33"/>
  <c r="B12" i="33"/>
  <c r="D11" i="33"/>
  <c r="C11" i="33"/>
  <c r="I53" i="39"/>
  <c r="I52" i="39"/>
  <c r="I51" i="39"/>
  <c r="I50" i="39"/>
  <c r="B11" i="33"/>
  <c r="D10" i="33"/>
  <c r="C10" i="33"/>
  <c r="B10" i="33"/>
  <c r="E10" i="33" s="1"/>
  <c r="D9" i="33"/>
  <c r="C9" i="33"/>
  <c r="B9" i="33"/>
  <c r="D8" i="33"/>
  <c r="C8" i="33"/>
  <c r="B8" i="33"/>
  <c r="D7" i="33"/>
  <c r="C7" i="33"/>
  <c r="B7" i="33"/>
  <c r="D6" i="33"/>
  <c r="C6" i="33"/>
  <c r="B6" i="33"/>
  <c r="D5" i="33"/>
  <c r="C5" i="33"/>
  <c r="B5" i="33"/>
  <c r="E5" i="33" s="1"/>
  <c r="D4" i="33"/>
  <c r="C4" i="33"/>
  <c r="B4" i="33"/>
  <c r="E9" i="33"/>
  <c r="E7" i="33"/>
  <c r="B60" i="39"/>
  <c r="C65" i="39"/>
  <c r="B59" i="39"/>
  <c r="B58" i="39"/>
  <c r="B64" i="39" s="1"/>
  <c r="B57" i="39"/>
  <c r="B63" i="39" s="1"/>
  <c r="G47" i="39"/>
  <c r="G46" i="39"/>
  <c r="G45" i="39"/>
  <c r="G51" i="39" s="1"/>
  <c r="G44" i="39"/>
  <c r="B47" i="39"/>
  <c r="B44" i="39"/>
  <c r="H6" i="11"/>
  <c r="H5" i="11"/>
  <c r="H4" i="11"/>
  <c r="H6" i="12"/>
  <c r="H5" i="12"/>
  <c r="H4" i="12"/>
  <c r="H6" i="23"/>
  <c r="H5" i="23"/>
  <c r="H4" i="23"/>
  <c r="H5" i="10"/>
  <c r="H6" i="10"/>
  <c r="C13" i="10" s="1"/>
  <c r="B34" i="39" s="1"/>
  <c r="B40" i="39" s="1"/>
  <c r="H4" i="10"/>
  <c r="B45" i="39"/>
  <c r="B50" i="39"/>
  <c r="G35" i="39"/>
  <c r="G34" i="39"/>
  <c r="G40" i="39" s="1"/>
  <c r="G33" i="39"/>
  <c r="G39" i="39" s="1"/>
  <c r="G32" i="39"/>
  <c r="G38" i="39" s="1"/>
  <c r="B35" i="39"/>
  <c r="C40" i="39"/>
  <c r="B33" i="39"/>
  <c r="B39" i="39" s="1"/>
  <c r="B32" i="39"/>
  <c r="B38" i="39" s="1"/>
  <c r="C53" i="39"/>
  <c r="H52" i="39"/>
  <c r="H53" i="39" s="1"/>
  <c r="C52" i="39"/>
  <c r="H51" i="39"/>
  <c r="C51" i="39"/>
  <c r="B51" i="39"/>
  <c r="D51" i="39" s="1"/>
  <c r="H50" i="39"/>
  <c r="G50" i="39"/>
  <c r="C50" i="39"/>
  <c r="G52" i="39"/>
  <c r="H39" i="39"/>
  <c r="H38" i="39"/>
  <c r="G21" i="39"/>
  <c r="G26" i="39" s="1"/>
  <c r="G18" i="39"/>
  <c r="G20" i="39"/>
  <c r="G24" i="39"/>
  <c r="G19" i="39"/>
  <c r="G25" i="39" s="1"/>
  <c r="B21" i="39"/>
  <c r="C25" i="39" s="1"/>
  <c r="B20" i="39"/>
  <c r="B19" i="39"/>
  <c r="B18" i="39"/>
  <c r="C15" i="16"/>
  <c r="B25" i="39"/>
  <c r="B24" i="39"/>
  <c r="H11" i="39"/>
  <c r="H10" i="39"/>
  <c r="C11" i="39"/>
  <c r="D11" i="39" s="1"/>
  <c r="C10" i="39"/>
  <c r="D10" i="39" s="1"/>
  <c r="H12" i="39"/>
  <c r="G12" i="39"/>
  <c r="I12" i="39" s="1"/>
  <c r="G11" i="39"/>
  <c r="I11" i="39" s="1"/>
  <c r="H13" i="39"/>
  <c r="G10" i="39"/>
  <c r="G13" i="39" s="1"/>
  <c r="B12" i="39"/>
  <c r="D12" i="39" s="1"/>
  <c r="G6" i="39"/>
  <c r="G5" i="39"/>
  <c r="G4" i="39"/>
  <c r="G7" i="39"/>
  <c r="C12" i="39"/>
  <c r="B11" i="39"/>
  <c r="B10" i="39"/>
  <c r="B7" i="39"/>
  <c r="B6" i="39"/>
  <c r="B5" i="39"/>
  <c r="B4" i="39"/>
  <c r="C25" i="35"/>
  <c r="H12" i="35"/>
  <c r="H11" i="35"/>
  <c r="H10" i="35"/>
  <c r="H9" i="35"/>
  <c r="H8" i="35"/>
  <c r="H7" i="35"/>
  <c r="H6" i="35"/>
  <c r="H5" i="35"/>
  <c r="H4" i="35"/>
  <c r="H7" i="16"/>
  <c r="H6" i="16"/>
  <c r="H5" i="16"/>
  <c r="H4" i="16"/>
  <c r="E4" i="16"/>
  <c r="E5" i="16"/>
  <c r="E6" i="16"/>
  <c r="E7" i="16"/>
  <c r="H4" i="5"/>
  <c r="F12" i="35"/>
  <c r="G12" i="35" s="1"/>
  <c r="F10" i="35"/>
  <c r="G10" i="35" s="1"/>
  <c r="F9" i="35"/>
  <c r="G9" i="35" s="1"/>
  <c r="G7" i="35"/>
  <c r="F5" i="35"/>
  <c r="G5" i="35" s="1"/>
  <c r="F4" i="35"/>
  <c r="C21" i="35"/>
  <c r="C20" i="35"/>
  <c r="G11" i="35"/>
  <c r="G8" i="35"/>
  <c r="G4" i="35"/>
  <c r="E12" i="35"/>
  <c r="E11" i="35"/>
  <c r="E10" i="35"/>
  <c r="E9" i="35"/>
  <c r="E8" i="35"/>
  <c r="E7" i="35"/>
  <c r="E6" i="35"/>
  <c r="E5" i="35"/>
  <c r="E4" i="35"/>
  <c r="H22" i="30"/>
  <c r="G22" i="30"/>
  <c r="E22" i="30"/>
  <c r="H21" i="30"/>
  <c r="G21" i="30"/>
  <c r="E21" i="30"/>
  <c r="H20" i="30"/>
  <c r="G20" i="30"/>
  <c r="E20" i="30"/>
  <c r="H19" i="30"/>
  <c r="G19" i="30"/>
  <c r="E19" i="30"/>
  <c r="H18" i="30"/>
  <c r="G18" i="30"/>
  <c r="E18" i="30"/>
  <c r="H17" i="30"/>
  <c r="G17" i="30"/>
  <c r="E17" i="30"/>
  <c r="H16" i="30"/>
  <c r="G16" i="30"/>
  <c r="E16" i="30"/>
  <c r="H15" i="30"/>
  <c r="G15" i="30"/>
  <c r="E15" i="30"/>
  <c r="H14" i="30"/>
  <c r="G14" i="30"/>
  <c r="E14" i="30"/>
  <c r="H13" i="30"/>
  <c r="G13" i="30"/>
  <c r="E13" i="30"/>
  <c r="H12" i="30"/>
  <c r="G12" i="30"/>
  <c r="E12" i="30"/>
  <c r="H11" i="30"/>
  <c r="G11" i="30"/>
  <c r="E11" i="30"/>
  <c r="H10" i="30"/>
  <c r="G10" i="30"/>
  <c r="E10" i="30"/>
  <c r="H9" i="30"/>
  <c r="G9" i="30"/>
  <c r="E9" i="30"/>
  <c r="H8" i="30"/>
  <c r="G8" i="30"/>
  <c r="E8" i="30"/>
  <c r="H7" i="30"/>
  <c r="G7" i="30"/>
  <c r="E7" i="30"/>
  <c r="H6" i="30"/>
  <c r="G6" i="30"/>
  <c r="E6" i="30"/>
  <c r="H5" i="30"/>
  <c r="G5" i="30"/>
  <c r="E5" i="30"/>
  <c r="H4" i="30"/>
  <c r="G4" i="30"/>
  <c r="E4" i="30"/>
  <c r="C9" i="11"/>
  <c r="C8" i="11"/>
  <c r="C10" i="11" s="1"/>
  <c r="C9" i="12"/>
  <c r="C8" i="12"/>
  <c r="C10" i="12" s="1"/>
  <c r="C12" i="10"/>
  <c r="C9" i="10"/>
  <c r="C8" i="10"/>
  <c r="C10" i="10" s="1"/>
  <c r="C13" i="23"/>
  <c r="C12" i="23"/>
  <c r="C10" i="23"/>
  <c r="C9" i="23"/>
  <c r="C11" i="23" s="1"/>
  <c r="E4" i="11"/>
  <c r="C11" i="11" s="1"/>
  <c r="E5" i="11"/>
  <c r="E6" i="11"/>
  <c r="G6" i="11"/>
  <c r="G5" i="11"/>
  <c r="C13" i="11"/>
  <c r="G4" i="11"/>
  <c r="C12" i="11" s="1"/>
  <c r="G6" i="12"/>
  <c r="E6" i="12"/>
  <c r="G5" i="12"/>
  <c r="E5" i="12"/>
  <c r="G4" i="12"/>
  <c r="C12" i="12" s="1"/>
  <c r="E4" i="12"/>
  <c r="G6" i="23"/>
  <c r="E6" i="23"/>
  <c r="C14" i="23"/>
  <c r="G5" i="23"/>
  <c r="E5" i="23"/>
  <c r="G4" i="23"/>
  <c r="E4" i="23"/>
  <c r="G6" i="10"/>
  <c r="E6" i="10"/>
  <c r="G5" i="10"/>
  <c r="E5" i="10"/>
  <c r="C11" i="10" s="1"/>
  <c r="G4" i="10"/>
  <c r="E4" i="10"/>
  <c r="C11" i="8"/>
  <c r="C10" i="8"/>
  <c r="C12" i="8" s="1"/>
  <c r="F8" i="8"/>
  <c r="E8" i="8"/>
  <c r="F7" i="8"/>
  <c r="G7" i="8" s="1"/>
  <c r="E7" i="8"/>
  <c r="H7" i="8" s="1"/>
  <c r="F6" i="8"/>
  <c r="E6" i="8"/>
  <c r="F5" i="8"/>
  <c r="E5" i="8"/>
  <c r="C13" i="8" s="1"/>
  <c r="G4" i="8"/>
  <c r="E4" i="8"/>
  <c r="H4" i="8" s="1"/>
  <c r="C11" i="5"/>
  <c r="C10" i="5"/>
  <c r="C12" i="5" s="1"/>
  <c r="G8" i="5"/>
  <c r="E8" i="5"/>
  <c r="H8" i="5" s="1"/>
  <c r="G7" i="5"/>
  <c r="E7" i="5"/>
  <c r="H7" i="5" s="1"/>
  <c r="G6" i="5"/>
  <c r="E6" i="5"/>
  <c r="H6" i="5" s="1"/>
  <c r="G5" i="5"/>
  <c r="E5" i="5"/>
  <c r="H5" i="5" s="1"/>
  <c r="G4" i="5"/>
  <c r="C14" i="5" s="1"/>
  <c r="E4" i="5"/>
  <c r="E12" i="33" l="1"/>
  <c r="E11" i="33"/>
  <c r="E8" i="33"/>
  <c r="E6" i="33"/>
  <c r="E4" i="33"/>
  <c r="B65" i="39"/>
  <c r="D65" i="39" s="1"/>
  <c r="C63" i="39"/>
  <c r="C64" i="39"/>
  <c r="D64" i="39" s="1"/>
  <c r="G53" i="39"/>
  <c r="I39" i="39"/>
  <c r="C39" i="39"/>
  <c r="D39" i="39" s="1"/>
  <c r="D40" i="39"/>
  <c r="D50" i="39"/>
  <c r="B41" i="39"/>
  <c r="G41" i="39"/>
  <c r="I38" i="39"/>
  <c r="H40" i="39"/>
  <c r="I40" i="39" s="1"/>
  <c r="C38" i="39"/>
  <c r="H25" i="39"/>
  <c r="H24" i="39"/>
  <c r="I25" i="39"/>
  <c r="D25" i="39"/>
  <c r="B26" i="39"/>
  <c r="B27" i="39"/>
  <c r="G27" i="39"/>
  <c r="I24" i="39"/>
  <c r="C26" i="39"/>
  <c r="D26" i="39" s="1"/>
  <c r="C24" i="39"/>
  <c r="C27" i="39" s="1"/>
  <c r="H26" i="39"/>
  <c r="H27" i="39" s="1"/>
  <c r="I13" i="39"/>
  <c r="C13" i="39"/>
  <c r="I10" i="39"/>
  <c r="B13" i="39"/>
  <c r="C13" i="12"/>
  <c r="B46" i="39" s="1"/>
  <c r="B52" i="39" s="1"/>
  <c r="D52" i="39" s="1"/>
  <c r="C11" i="12"/>
  <c r="C13" i="5"/>
  <c r="C28" i="30"/>
  <c r="C23" i="35"/>
  <c r="G6" i="35"/>
  <c r="C22" i="35"/>
  <c r="C24" i="35"/>
  <c r="G5" i="8"/>
  <c r="G8" i="8"/>
  <c r="H8" i="8" s="1"/>
  <c r="G6" i="8"/>
  <c r="H6" i="8" s="1"/>
  <c r="C15" i="5"/>
  <c r="B66" i="39" l="1"/>
  <c r="D66" i="39" s="1"/>
  <c r="C66" i="39"/>
  <c r="D63" i="39"/>
  <c r="B53" i="39"/>
  <c r="D53" i="39" s="1"/>
  <c r="C41" i="39"/>
  <c r="D38" i="39"/>
  <c r="D41" i="39"/>
  <c r="H41" i="39"/>
  <c r="I41" i="39" s="1"/>
  <c r="I26" i="39"/>
  <c r="I27" i="39"/>
  <c r="D24" i="39"/>
  <c r="D27" i="39"/>
  <c r="D13" i="39"/>
  <c r="C14" i="8"/>
  <c r="H5" i="8"/>
  <c r="C15" i="8" s="1"/>
  <c r="C11" i="16" l="1"/>
  <c r="C10" i="16"/>
  <c r="C12" i="16" s="1"/>
  <c r="C30" i="30" l="1"/>
  <c r="C26" i="30" l="1"/>
  <c r="C25" i="30"/>
  <c r="F7" i="16"/>
  <c r="F6" i="16"/>
  <c r="F5" i="16"/>
  <c r="F4" i="16"/>
  <c r="G5" i="16" l="1"/>
  <c r="G6" i="16"/>
  <c r="G7" i="16"/>
  <c r="G4" i="16"/>
  <c r="C14" i="16" s="1"/>
  <c r="C29" i="30"/>
  <c r="C27" i="30"/>
  <c r="C13" i="16" l="1"/>
</calcChain>
</file>

<file path=xl/sharedStrings.xml><?xml version="1.0" encoding="utf-8"?>
<sst xmlns="http://schemas.openxmlformats.org/spreadsheetml/2006/main" count="364" uniqueCount="95">
  <si>
    <t>Total</t>
  </si>
  <si>
    <t>IsVCO—Decision Stump</t>
  </si>
  <si>
    <t>IsVCO—Random Forest</t>
  </si>
  <si>
    <t>IsVCO—Naïve Bayes</t>
  </si>
  <si>
    <t>Major Predictors</t>
  </si>
  <si>
    <t>Minor Predictors</t>
  </si>
  <si>
    <t>Predictor</t>
  </si>
  <si>
    <t>Expected Contribution to target</t>
  </si>
  <si>
    <t>Aging time</t>
  </si>
  <si>
    <t>% Zirconium</t>
  </si>
  <si>
    <t>% Cerium</t>
  </si>
  <si>
    <t>% Chromium</t>
  </si>
  <si>
    <t>% Lanthanum</t>
  </si>
  <si>
    <t>Major</t>
  </si>
  <si>
    <t>Minor</t>
  </si>
  <si>
    <t>Total Number of Predictors</t>
  </si>
  <si>
    <t>EDA rank and FIM rank agree?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</si>
  <si>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</si>
  <si>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</si>
  <si>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</si>
  <si>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</si>
  <si>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</si>
  <si>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</si>
  <si>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UV-Vis Absorbance at 278 nm</t>
  </si>
  <si>
    <t>Unsaturated carbon signal ratio</t>
  </si>
  <si>
    <t>p-value</t>
  </si>
  <si>
    <t>p aligned to expectations?</t>
  </si>
  <si>
    <t>EDA alignment and NFIM alignment agree?</t>
  </si>
  <si>
    <t>Concentration (of TPU)</t>
  </si>
  <si>
    <t>Temperature</t>
  </si>
  <si>
    <t>Time</t>
  </si>
  <si>
    <t>Mixture Ratio</t>
  </si>
  <si>
    <r>
      <t xml:space="preserve">Hardness—Spearman's </t>
    </r>
    <r>
      <rPr>
        <sz val="11"/>
        <color theme="1"/>
        <rFont val="Aptos Narrow"/>
        <family val="2"/>
      </rPr>
      <t>ρ</t>
    </r>
  </si>
  <si>
    <t>Spearman's |ρ|</t>
  </si>
  <si>
    <t>|ρ| aligned to expectations?</t>
  </si>
  <si>
    <t>Conductivity—Spearman's ρ</t>
  </si>
  <si>
    <t>Adsorption—Spearman's ρ</t>
  </si>
  <si>
    <t>Points</t>
  </si>
  <si>
    <t>IsVCO—Logistic Regression</t>
  </si>
  <si>
    <t>Explosives</t>
  </si>
  <si>
    <t>KMF</t>
  </si>
  <si>
    <t>Class I TBs</t>
  </si>
  <si>
    <t>Class II TBs</t>
  </si>
  <si>
    <t>Number of N3</t>
  </si>
  <si>
    <t>Number of N</t>
  </si>
  <si>
    <t>Number of C</t>
  </si>
  <si>
    <t>H Bond Ratio</t>
  </si>
  <si>
    <t>Oxygen Balance</t>
  </si>
  <si>
    <t>NO2 adj to NO2</t>
  </si>
  <si>
    <t>NO2 adj to NH2</t>
  </si>
  <si>
    <t>NO2 adj to CO</t>
  </si>
  <si>
    <t>NO2 adj to CH3</t>
  </si>
  <si>
    <t>NO2 adj to OH</t>
  </si>
  <si>
    <t>NO2 adj to NH</t>
  </si>
  <si>
    <t>Aromatic Rings</t>
  </si>
  <si>
    <t>Aliphatic Rings</t>
  </si>
  <si>
    <t>VSAEState8</t>
  </si>
  <si>
    <t>SMRVSA5</t>
  </si>
  <si>
    <t>TPSA</t>
  </si>
  <si>
    <t>ψ</t>
  </si>
  <si>
    <t>Generalized Coordination Number</t>
  </si>
  <si>
    <t>Volume</t>
  </si>
  <si>
    <t>Weighted Atomic Radius</t>
  </si>
  <si>
    <t>Weighted Ionization Energy</t>
  </si>
  <si>
    <t>S_A</t>
  </si>
  <si>
    <t>S_B</t>
  </si>
  <si>
    <t>facet</t>
  </si>
  <si>
    <t>Weighted Electronegativity</t>
  </si>
  <si>
    <t>H2 Catalyst—Spearman's ρ</t>
  </si>
  <si>
    <t>Diglyceride signal ratio</t>
  </si>
  <si>
    <t>EDA rank and FIM algined?</t>
  </si>
  <si>
    <t>p -value aligned to expectations?</t>
  </si>
  <si>
    <t>p-value aligned to expectations?</t>
  </si>
  <si>
    <t>Case 1</t>
  </si>
  <si>
    <t>Ante-hoc Alignment</t>
  </si>
  <si>
    <t>Post-hoc Alignment</t>
  </si>
  <si>
    <t>Score</t>
  </si>
  <si>
    <t>EDA-FIM alignment</t>
  </si>
  <si>
    <t>Percentage</t>
  </si>
  <si>
    <t>Max. Possible points</t>
  </si>
  <si>
    <t>Case 2</t>
  </si>
  <si>
    <t>Ante-hoc aligned</t>
  </si>
  <si>
    <t>Post-hoc aligned</t>
  </si>
  <si>
    <t>EDA-FIM aligned</t>
  </si>
  <si>
    <t>Case 3</t>
  </si>
  <si>
    <t>Case 4</t>
  </si>
  <si>
    <t>Case 5A</t>
  </si>
  <si>
    <t>Case 5B</t>
  </si>
  <si>
    <t>Case 5C</t>
  </si>
  <si>
    <t>Case 5D</t>
  </si>
  <si>
    <t>Case 6</t>
  </si>
  <si>
    <t>Total Alignment Score (%)</t>
  </si>
  <si>
    <t>Ante-Hoc</t>
  </si>
  <si>
    <t>Post-Hoc</t>
  </si>
  <si>
    <t>EDA-FIM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</si>
</sst>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E+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'Alignment Scores Summary'!$B$3</c:f>
              <c:strCache>
                <c:ptCount val="1"/>
                <c:pt idx="0">
                  <c:v>Ante-Hoc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'Alignment Scores Summary'!$A$4:$A$12</c:f>
              <c:strCache>
                <c:ptCount val="9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5A</c:v>
                </c:pt>
                <c:pt idx="5">
                  <c:v>Case 5B</c:v>
                </c:pt>
                <c:pt idx="6">
                  <c:v>Case 5C</c:v>
                </c:pt>
                <c:pt idx="7">
                  <c:v>Case 5D</c:v>
                </c:pt>
                <c:pt idx="8">
                  <c:v>Case 6</c:v>
                </c:pt>
              </c:strCache>
            </c:strRef>
          </c:cat>
          <c:val>
            <c:numRef>
              <c:f>'Alignment Scores Summary'!$B$4:$B$12</c:f>
              <c:numCache>
                <c:formatCode>General</c:formatCode>
                <c:ptCount val="9"/>
                <c:pt idx="0">
                  <c:v>40</c:v>
                </c:pt>
                <c:pt idx="1">
                  <c:v>40</c:v>
                </c:pt>
                <c:pt idx="2">
                  <c:v>20</c:v>
                </c:pt>
                <c:pt idx="3" formatCode="0.0">
                  <c:v>17.777777777777779</c:v>
                </c:pt>
                <c:pt idx="4" formatCode="0.0">
                  <c:v>26.666666666666671</c:v>
                </c:pt>
                <c:pt idx="5" formatCode="0.0">
                  <c:v>26.666666666666671</c:v>
                </c:pt>
                <c:pt idx="6" formatCode="0.0">
                  <c:v>26.666666666666671</c:v>
                </c:pt>
                <c:pt idx="7" formatCode="0.0">
                  <c:v>26.666666666666671</c:v>
                </c:pt>
                <c:pt idx="8" formatCode="0.0">
                  <c:v>35.789473684210527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911-B16A-AF4140513D53}"/>
            </c:ext>
          </c:extLst>
        </c:ser>
        <c:ser>
          <c:idx val="1"/>
          <c:order val="1"/>
          <c:tx>
            <c:strRef>
              <c:f>'Alignment Scores Summary'!$C$3</c:f>
              <c:strCache>
                <c:ptCount val="1"/>
                <c:pt idx="0">
                  <c:v>Post-Hoc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'Alignment Scores Summary'!$A$4:$A$12</c:f>
              <c:strCache>
                <c:ptCount val="9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5A</c:v>
                </c:pt>
                <c:pt idx="5">
                  <c:v>Case 5B</c:v>
                </c:pt>
                <c:pt idx="6">
                  <c:v>Case 5C</c:v>
                </c:pt>
                <c:pt idx="7">
                  <c:v>Case 5D</c:v>
                </c:pt>
                <c:pt idx="8">
                  <c:v>Case 6</c:v>
                </c:pt>
              </c:strCache>
            </c:strRef>
          </c:cat>
          <c:val>
            <c:numRef>
              <c:f>'Alignment Scores Summary'!$C$4:$C$12</c:f>
              <c:numCache>
                <c:formatCode>General</c:formatCode>
                <c:ptCount val="9"/>
                <c:pt idx="0">
                  <c:v>32</c:v>
                </c:pt>
                <c:pt idx="1">
                  <c:v>40</c:v>
                </c:pt>
                <c:pt idx="2">
                  <c:v>30</c:v>
                </c:pt>
                <c:pt idx="3" formatCode="0.0">
                  <c:v>35.555555555555557</c:v>
                </c:pt>
                <c:pt idx="4" formatCode="0.0">
                  <c:v>26.666666666666671</c:v>
                </c:pt>
                <c:pt idx="5" formatCode="0.0">
                  <c:v>26.666666666666671</c:v>
                </c:pt>
                <c:pt idx="6" formatCode="0.0">
                  <c:v>26.666666666666671</c:v>
                </c:pt>
                <c:pt idx="7" formatCode="0.0">
                  <c:v>26.666666666666671</c:v>
                </c:pt>
                <c:pt idx="8" formatCode="0.0">
                  <c:v>21.05263157894737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8-4911-B16A-AF4140513D53}"/>
            </c:ext>
          </c:extLst>
        </c:ser>
        <c:ser>
          <c:idx val="2"/>
          <c:order val="2"/>
          <c:tx>
            <c:strRef>
              <c:f>'Alignment Scores Summary'!$D$3</c:f>
              <c:strCache>
                <c:ptCount val="1"/>
                <c:pt idx="0">
                  <c:v>EDA-FIM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'Alignment Scores Summary'!$A$4:$A$12</c:f>
              <c:strCache>
                <c:ptCount val="9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5A</c:v>
                </c:pt>
                <c:pt idx="5">
                  <c:v>Case 5B</c:v>
                </c:pt>
                <c:pt idx="6">
                  <c:v>Case 5C</c:v>
                </c:pt>
                <c:pt idx="7">
                  <c:v>Case 5D</c:v>
                </c:pt>
                <c:pt idx="8">
                  <c:v>Case 6</c:v>
                </c:pt>
              </c:strCache>
            </c:strRef>
          </c:cat>
          <c:val>
            <c:numRef>
              <c:f>'Alignment Scores Summary'!$D$4:$D$12</c:f>
              <c:numCache>
                <c:formatCode>General</c:formatCode>
                <c:ptCount val="9"/>
                <c:pt idx="0">
                  <c:v>18.399999999999999</c:v>
                </c:pt>
                <c:pt idx="1">
                  <c:v>20</c:v>
                </c:pt>
                <c:pt idx="2">
                  <c:v>18</c:v>
                </c:pt>
                <c:pt idx="3" formatCode="0.0">
                  <c:v>15.111111111111112</c:v>
                </c:pt>
                <c:pt idx="4" formatCode="0.0">
                  <c:v>10.666666666666668</c:v>
                </c:pt>
                <c:pt idx="5">
                  <c:v>20</c:v>
                </c:pt>
                <c:pt idx="6" formatCode="0.0">
                  <c:v>10.666666666666668</c:v>
                </c:pt>
                <c:pt idx="7" formatCode="0.0">
                  <c:v>10.666666666666668</c:v>
                </c:pt>
                <c:pt idx="8" formatCode="0.0">
                  <c:v>12.421052631578949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48-4911-B16A-AF4140513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1002208"/>
        <c:axId val="1681002688"/>
      </c:barChart>
      <c:catAx>
        <c:axId val="16810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02688"/>
        <c:crosses val="autoZero"/>
        <c:auto val="1"/>
        <c:lblAlgn val="ctr"/>
        <c:lblOffset val="100"/>
        <c:noMultiLvlLbl val="0"/>
      </c:catAx>
      <c:valAx>
        <c:axId val="16810026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Groundgin Score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022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233049</xdr:colOff>
      <xdr:row>1</xdr:row>
      <xdr:rowOff>169384</xdr:rowOff>
    </xdr:from>
    <xdr:to>
      <xdr:col>18</xdr:col>
      <xdr:colOff>414297</xdr:colOff>
      <xdr:row>21</xdr:row>
      <xdr:rowOff>131283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DA7317-182E-B2B9-3E1A-B3B02B853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B13E-6D0B-481E-87BC-FB5F1063E4C7}">
  <dimension ref="B2:K15"/>
  <sheetViews>
    <sheetView zoomScale="70" zoomScaleNormal="70" workbookViewId="0">
      <selection activeCell="B19" sqref="B19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32</v>
      </c>
    </row>
    <row r="3" spans="2:11" x14ac:dyDescent="0.25">
      <c r="B3" t="s">
        <v>6</v>
      </c>
      <c r="C3" s="9" t="s">
        <v>7</v>
      </c>
      <c r="D3" s="9" t="s">
        <v>33</v>
      </c>
      <c r="E3" s="9" t="s">
        <v>34</v>
      </c>
      <c r="F3" s="9" t="s">
        <v>20</v>
      </c>
      <c r="G3" s="9" t="s">
        <v>19</v>
      </c>
      <c r="H3" s="9" t="s">
        <v>70</v>
      </c>
    </row>
    <row r="4" spans="2:11" x14ac:dyDescent="0.25">
      <c r="B4" t="s">
        <v>9</v>
      </c>
      <c r="C4" s="9" t="s">
        <v>13</v>
      </c>
      <c r="D4" s="9">
        <v>0.67</v>
      </c>
      <c r="E4" s="9" t="str">
        <f>IF($C4="Major", IF($D4 &gt;= 0.3, "Yes", "No"), IF($D4 &lt; 0.3, "Yes", "No"))</f>
        <v>Yes</v>
      </c>
      <c r="F4" s="10">
        <v>0.56902654900000005</v>
      </c>
      <c r="G4" s="9" t="str">
        <f>IF($C4="Major", IF($F4 &gt; 0.1, "Yes", "No"), IF($F4 &lt;= 0.1, "Yes", "No"))</f>
        <v>Yes</v>
      </c>
      <c r="H4" s="9" t="str">
        <f>IF(E4 = G4, "Yes", "No")</f>
        <v>Yes</v>
      </c>
      <c r="K4" s="2"/>
    </row>
    <row r="5" spans="2:11" x14ac:dyDescent="0.25">
      <c r="B5" t="s">
        <v>10</v>
      </c>
      <c r="C5" s="9" t="s">
        <v>13</v>
      </c>
      <c r="D5" s="9">
        <v>0.4</v>
      </c>
      <c r="E5" s="9" t="str">
        <f>IF($C5="Major", IF($D5 &gt;= 0.3, "Yes", "No"), IF($D5 &lt; 0.3, "Yes", "No"))</f>
        <v>Yes</v>
      </c>
      <c r="F5" s="10">
        <v>3.9823008999999999E-2</v>
      </c>
      <c r="G5" s="9" t="str">
        <f>IF($C5="Major", IF($F5 &gt; 0.1, "Yes", "No"), IF($F5 &lt;= 0.1, "Yes", "No"))</f>
        <v>No</v>
      </c>
      <c r="H5" s="9" t="str">
        <f t="shared" ref="H5:H8" si="0">IF(E5 = G5, "Yes", "No")</f>
        <v>No</v>
      </c>
      <c r="K5" s="2"/>
    </row>
    <row r="6" spans="2:11" x14ac:dyDescent="0.25">
      <c r="B6" t="s">
        <v>8</v>
      </c>
      <c r="C6" s="9" t="s">
        <v>13</v>
      </c>
      <c r="D6" s="9">
        <v>0.4</v>
      </c>
      <c r="E6" s="9" t="str">
        <f>IF($C6="Major", IF($D6 &gt;= 0.3, "Yes", "No"), IF($D6 &lt; 0.3, "Yes", "No"))</f>
        <v>Yes</v>
      </c>
      <c r="F6" s="10">
        <v>0.33097345099999997</v>
      </c>
      <c r="G6" s="9" t="str">
        <f>IF($C6="Major", IF($F6 &gt; 0.1, "Yes", "No"), IF($F6 &lt;= 0.1, "Yes", "No"))</f>
        <v>Yes</v>
      </c>
      <c r="H6" s="9" t="str">
        <f t="shared" si="0"/>
        <v>Yes</v>
      </c>
      <c r="K6" s="2"/>
    </row>
    <row r="7" spans="2:11" x14ac:dyDescent="0.25">
      <c r="B7" t="s">
        <v>11</v>
      </c>
      <c r="C7" s="9" t="s">
        <v>14</v>
      </c>
      <c r="D7" s="9">
        <v>0.27</v>
      </c>
      <c r="E7" s="9" t="str">
        <f>IF($C7="Major", IF($D7 &gt;= 0.3, "Yes", "No"), IF($D7 &lt; 0.3, "Yes", "No"))</f>
        <v>Yes</v>
      </c>
      <c r="F7" s="10">
        <v>5.9292035E-2</v>
      </c>
      <c r="G7" s="9" t="str">
        <f>IF($C7="Major", IF($F7 &gt; 0.1, "Yes", "No"), IF($F7 &lt;= 0.1, "Yes", "No"))</f>
        <v>Yes</v>
      </c>
      <c r="H7" s="9" t="str">
        <f t="shared" si="0"/>
        <v>Yes</v>
      </c>
      <c r="K7" s="2"/>
    </row>
    <row r="8" spans="2:11" x14ac:dyDescent="0.25">
      <c r="B8" t="s">
        <v>12</v>
      </c>
      <c r="C8" s="9" t="s">
        <v>14</v>
      </c>
      <c r="D8" s="9">
        <v>0.22</v>
      </c>
      <c r="E8" s="9" t="str">
        <f>IF($C8="Major", IF($D8 &gt;= 0.3, "Yes", "No"), IF($D8 &lt; 0.3, "Yes", "No"))</f>
        <v>Yes</v>
      </c>
      <c r="F8" s="10">
        <v>2.4778761E-2</v>
      </c>
      <c r="G8" s="9" t="str">
        <f>IF($C8="Major", IF($F8 &gt; 0.1, "Yes", "No"), IF($F8 &lt;= 0.1, "Yes", "No"))</f>
        <v>Yes</v>
      </c>
      <c r="H8" s="9" t="str">
        <f t="shared" si="0"/>
        <v>Yes</v>
      </c>
      <c r="K8" s="2"/>
    </row>
    <row r="9" spans="2:11" x14ac:dyDescent="0.25">
      <c r="C9" s="9"/>
      <c r="D9" s="9"/>
      <c r="E9" s="9"/>
      <c r="F9" s="9"/>
      <c r="G9" s="9"/>
      <c r="H9" s="9"/>
    </row>
    <row r="10" spans="2:11" x14ac:dyDescent="0.25">
      <c r="B10" t="s">
        <v>4</v>
      </c>
      <c r="C10">
        <f>COUNTIF($C4:$C8,"Major")</f>
        <v>3</v>
      </c>
    </row>
    <row r="11" spans="2:11" x14ac:dyDescent="0.25">
      <c r="B11" t="s">
        <v>5</v>
      </c>
      <c r="C11">
        <f>COUNTIF($C4:$C8,"Minor")</f>
        <v>2</v>
      </c>
    </row>
    <row r="12" spans="2:11" x14ac:dyDescent="0.25">
      <c r="B12" t="s">
        <v>15</v>
      </c>
      <c r="C12">
        <f>SUM(C10:C11)</f>
        <v>5</v>
      </c>
    </row>
    <row r="13" spans="2:11" x14ac:dyDescent="0.25">
      <c r="B13" t="s">
        <v>18</v>
      </c>
      <c r="C13">
        <f>COUNTIF(E4:E8, "Yes")</f>
        <v>5</v>
      </c>
    </row>
    <row r="14" spans="2:11" x14ac:dyDescent="0.25">
      <c r="B14" t="s">
        <v>21</v>
      </c>
      <c r="C14">
        <f>COUNTIF(G4:G8, "Yes")</f>
        <v>4</v>
      </c>
    </row>
    <row r="15" spans="2:11" x14ac:dyDescent="0.25">
      <c r="B15" t="s">
        <v>22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36C3-352D-4052-8E6E-C18867BEB1DD}">
  <dimension ref="B2:K15"/>
  <sheetViews>
    <sheetView zoomScale="70" zoomScaleNormal="70" workbookViewId="0">
      <selection activeCell="H3" sqref="H3:H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35</v>
      </c>
    </row>
    <row r="3" spans="2:11" x14ac:dyDescent="0.25">
      <c r="B3" t="s">
        <v>6</v>
      </c>
      <c r="C3" s="11" t="s">
        <v>7</v>
      </c>
      <c r="D3" s="11" t="s">
        <v>33</v>
      </c>
      <c r="E3" s="11" t="s">
        <v>34</v>
      </c>
      <c r="F3" s="11" t="s">
        <v>20</v>
      </c>
      <c r="G3" s="11" t="s">
        <v>19</v>
      </c>
      <c r="H3" s="11" t="s">
        <v>16</v>
      </c>
    </row>
    <row r="4" spans="2:11" x14ac:dyDescent="0.25">
      <c r="B4" t="s">
        <v>8</v>
      </c>
      <c r="C4" s="11" t="s">
        <v>13</v>
      </c>
      <c r="D4" s="11">
        <v>0.82</v>
      </c>
      <c r="E4" s="11" t="str">
        <f>IF($C4="Major", IF($D4 &gt;= 0.3, "Yes", "No"), IF($D4 &lt; 0.3, "Yes", "No"))</f>
        <v>Yes</v>
      </c>
      <c r="F4" s="12">
        <v>0.83</v>
      </c>
      <c r="G4" s="11" t="str">
        <f>IF($C4="Major", IF($F4 &gt; 0.1, "Yes", "No"), IF($F4 &lt;= 0.1, "Yes", "No"))</f>
        <v>Yes</v>
      </c>
      <c r="H4" s="11" t="str">
        <f>IF(E4 = G4, "Yes", "No")</f>
        <v>Yes</v>
      </c>
      <c r="K4" s="2"/>
    </row>
    <row r="5" spans="2:11" x14ac:dyDescent="0.25">
      <c r="B5" t="s">
        <v>9</v>
      </c>
      <c r="C5" s="11" t="s">
        <v>14</v>
      </c>
      <c r="D5" s="11">
        <v>0.2</v>
      </c>
      <c r="E5" s="11" t="str">
        <f>IF($C5="Major", IF($D5 &gt;= 0.3, "Yes", "No"), IF($D5 &lt; 0.3, "Yes", "No"))</f>
        <v>Yes</v>
      </c>
      <c r="F5" s="12">
        <f>7.927927928/100</f>
        <v>7.9279279280000003E-2</v>
      </c>
      <c r="G5" s="11" t="str">
        <f>IF($C5="Major", IF($F5 &gt; 0.1, "Yes", "No"), IF($F5 &lt;= 0.1, "Yes", "No"))</f>
        <v>Yes</v>
      </c>
      <c r="H5" s="11" t="str">
        <f t="shared" ref="H5:H8" si="0">IF(E5 = G5, "Yes", "No")</f>
        <v>Yes</v>
      </c>
      <c r="K5" s="2"/>
    </row>
    <row r="6" spans="2:11" x14ac:dyDescent="0.25">
      <c r="B6" t="s">
        <v>10</v>
      </c>
      <c r="C6" s="11" t="s">
        <v>14</v>
      </c>
      <c r="D6" s="11">
        <v>0.08</v>
      </c>
      <c r="E6" s="11" t="str">
        <f>IF($C6="Major", IF($D6 &gt;= 0.3, "Yes", "No"), IF($D6 &lt; 0.3, "Yes", "No"))</f>
        <v>Yes</v>
      </c>
      <c r="F6" s="12">
        <f>3.027027027/100</f>
        <v>3.027027027E-2</v>
      </c>
      <c r="G6" s="11" t="str">
        <f>IF($C6="Major", IF($F6 &gt; 0.1, "Yes", "No"), IF($F6 &lt;= 0.1, "Yes", "No"))</f>
        <v>Yes</v>
      </c>
      <c r="H6" s="11" t="str">
        <f t="shared" si="0"/>
        <v>Yes</v>
      </c>
      <c r="K6" s="2"/>
    </row>
    <row r="7" spans="2:11" x14ac:dyDescent="0.25">
      <c r="B7" t="s">
        <v>11</v>
      </c>
      <c r="C7" s="11" t="s">
        <v>14</v>
      </c>
      <c r="D7" s="11">
        <v>0.12</v>
      </c>
      <c r="E7" s="11" t="str">
        <f>IF($C7="Major", IF($D7 &gt;= 0.3, "Yes", "No"), IF($D7 &lt; 0.3, "Yes", "No"))</f>
        <v>Yes</v>
      </c>
      <c r="F7" s="12">
        <f>5.765765766/100</f>
        <v>5.765765766E-2</v>
      </c>
      <c r="G7" s="11" t="str">
        <f>IF($C7="Major", IF($F7 &gt; 0.1, "Yes", "No"), IF($F7 &lt;= 0.1, "Yes", "No"))</f>
        <v>Yes</v>
      </c>
      <c r="H7" s="11" t="str">
        <f t="shared" si="0"/>
        <v>Yes</v>
      </c>
      <c r="K7" s="2"/>
    </row>
    <row r="8" spans="2:11" x14ac:dyDescent="0.25">
      <c r="B8" t="s">
        <v>12</v>
      </c>
      <c r="C8" s="11" t="s">
        <v>14</v>
      </c>
      <c r="D8" s="11">
        <v>0.05</v>
      </c>
      <c r="E8" s="11" t="str">
        <f>IF($C8="Major", IF($D8 &gt;= 0.3, "Yes", "No"), IF($D8 &lt; 0.3, "Yes", "No"))</f>
        <v>Yes</v>
      </c>
      <c r="F8" s="12">
        <f>0.864864865/100</f>
        <v>8.6486486500000001E-3</v>
      </c>
      <c r="G8" s="11" t="str">
        <f>IF($C8="Major", IF($F8 &gt; 0.1, "Yes", "No"), IF($F8 &lt;= 0.1, "Yes", "No"))</f>
        <v>Yes</v>
      </c>
      <c r="H8" s="11" t="str">
        <f t="shared" si="0"/>
        <v>Yes</v>
      </c>
      <c r="K8" s="2"/>
    </row>
    <row r="10" spans="2:11" x14ac:dyDescent="0.25">
      <c r="B10" t="s">
        <v>4</v>
      </c>
      <c r="C10">
        <f>COUNTIF($C4:$C8,"Major")</f>
        <v>1</v>
      </c>
    </row>
    <row r="11" spans="2:11" x14ac:dyDescent="0.25">
      <c r="B11" t="s">
        <v>5</v>
      </c>
      <c r="C11">
        <f>COUNTIF($C4:$C8,"Minor")</f>
        <v>4</v>
      </c>
    </row>
    <row r="12" spans="2:11" x14ac:dyDescent="0.25">
      <c r="B12" t="s">
        <v>15</v>
      </c>
      <c r="C12">
        <f>SUM(C10:C11)</f>
        <v>5</v>
      </c>
    </row>
    <row r="13" spans="2:11" x14ac:dyDescent="0.25">
      <c r="B13" t="s">
        <v>18</v>
      </c>
      <c r="C13">
        <f>COUNTIF(E4:E8, "Yes")</f>
        <v>5</v>
      </c>
    </row>
    <row r="14" spans="2:11" x14ac:dyDescent="0.25">
      <c r="B14" t="s">
        <v>21</v>
      </c>
      <c r="C14">
        <f>COUNTIF(G4:G8, "Yes")</f>
        <v>5</v>
      </c>
    </row>
    <row r="15" spans="2:11" x14ac:dyDescent="0.25">
      <c r="B15" t="s">
        <v>22</v>
      </c>
      <c r="C15">
        <f>COUNTIF(H4:H8, "Yes")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839D-4815-402B-B01C-8FA2EFDBB6F4}">
  <dimension ref="B2:H15"/>
  <sheetViews>
    <sheetView zoomScale="85" zoomScaleNormal="85" workbookViewId="0">
      <selection activeCell="C16" sqref="C1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36</v>
      </c>
    </row>
    <row r="3" spans="2:8" x14ac:dyDescent="0.25">
      <c r="B3" t="s">
        <v>6</v>
      </c>
      <c r="C3" t="s">
        <v>7</v>
      </c>
      <c r="D3" t="s">
        <v>33</v>
      </c>
      <c r="E3" t="s">
        <v>34</v>
      </c>
      <c r="F3" t="s">
        <v>20</v>
      </c>
      <c r="G3" t="s">
        <v>19</v>
      </c>
      <c r="H3" s="11" t="s">
        <v>16</v>
      </c>
    </row>
    <row r="4" spans="2:8" x14ac:dyDescent="0.25">
      <c r="B4" t="s">
        <v>28</v>
      </c>
      <c r="C4" s="2" t="s">
        <v>13</v>
      </c>
      <c r="D4">
        <v>0.48</v>
      </c>
      <c r="E4" s="2" t="str">
        <f>IF($C4="Major", IF($D4 &gt;= 0.3, "Yes", "No"), IF($D4 &lt; 0.3, "Yes", "No"))</f>
        <v>Yes</v>
      </c>
      <c r="F4" s="4">
        <f>100/128</f>
        <v>0.78125</v>
      </c>
      <c r="G4" s="2" t="str">
        <f>IF($C4="Major", IF($F4 &gt; 0.1, "Yes", "No"), IF($F4 &lt;= 0.1, "Yes", "No"))</f>
        <v>Yes</v>
      </c>
      <c r="H4" s="11" t="str">
        <f>IF(E4 = G4, "Yes", "No")</f>
        <v>Yes</v>
      </c>
    </row>
    <row r="5" spans="2:8" x14ac:dyDescent="0.25">
      <c r="B5" t="s">
        <v>29</v>
      </c>
      <c r="C5" s="2" t="s">
        <v>13</v>
      </c>
      <c r="D5">
        <v>0.23</v>
      </c>
      <c r="E5" s="2" t="str">
        <f>IF($C5="Major", IF($D5 &gt;= 0.3, "Yes", "No"), IF($D5 &lt; 0.3, "Yes", "No"))</f>
        <v>No</v>
      </c>
      <c r="F5" s="4">
        <f>1/128</f>
        <v>7.8125E-3</v>
      </c>
      <c r="G5" s="2" t="str">
        <f>IF($C5="Major", IF($F5 &gt; 0.1, "Yes", "No"), IF($F5 &lt;= 0.1, "Yes", "No"))</f>
        <v>No</v>
      </c>
      <c r="H5" s="11" t="str">
        <f t="shared" ref="H5:H7" si="0">IF(E5 = G5, "Yes", "No")</f>
        <v>Yes</v>
      </c>
    </row>
    <row r="6" spans="2:8" x14ac:dyDescent="0.25">
      <c r="B6" t="s">
        <v>30</v>
      </c>
      <c r="C6" s="2" t="s">
        <v>14</v>
      </c>
      <c r="D6">
        <v>0.13</v>
      </c>
      <c r="E6" s="2" t="str">
        <f>IF($C6="Major", IF($D6 &gt;= 0.3, "Yes", "No"), IF($D6 &lt; 0.3, "Yes", "No"))</f>
        <v>Yes</v>
      </c>
      <c r="F6" s="4">
        <f>4/128</f>
        <v>3.125E-2</v>
      </c>
      <c r="G6" s="2" t="str">
        <f>IF($C6="Major", IF($F6 &gt; 0.1, "Yes", "No"), IF($F6 &lt;= 0.1, "Yes", "No"))</f>
        <v>Yes</v>
      </c>
      <c r="H6" s="11" t="str">
        <f t="shared" si="0"/>
        <v>Yes</v>
      </c>
    </row>
    <row r="7" spans="2:8" x14ac:dyDescent="0.25">
      <c r="B7" t="s">
        <v>31</v>
      </c>
      <c r="C7" s="2" t="s">
        <v>13</v>
      </c>
      <c r="D7">
        <v>0</v>
      </c>
      <c r="E7" s="2" t="str">
        <f>IF($C7="Major", IF($D7 &gt;= 0.3, "Yes", "No"), IF($D7 &lt; 0.3, "Yes", "No"))</f>
        <v>No</v>
      </c>
      <c r="F7" s="4">
        <f>23/128</f>
        <v>0.1796875</v>
      </c>
      <c r="G7" s="2" t="str">
        <f>IF($C7="Major", IF($F7 &gt; 0.1, "Yes", "No"), IF($F7 &lt;= 0.1, "Yes", "No"))</f>
        <v>Yes</v>
      </c>
      <c r="H7" s="11" t="str">
        <f t="shared" si="0"/>
        <v>No</v>
      </c>
    </row>
    <row r="8" spans="2:8" x14ac:dyDescent="0.25">
      <c r="H8" s="11"/>
    </row>
    <row r="10" spans="2:8" x14ac:dyDescent="0.25">
      <c r="B10" t="s">
        <v>4</v>
      </c>
      <c r="C10">
        <f>COUNTIF($C4:$C8,"Major")</f>
        <v>3</v>
      </c>
    </row>
    <row r="11" spans="2:8" x14ac:dyDescent="0.25">
      <c r="B11" t="s">
        <v>5</v>
      </c>
      <c r="C11">
        <f>COUNTIF($C4:$C8,"Minor")</f>
        <v>1</v>
      </c>
    </row>
    <row r="12" spans="2:8" x14ac:dyDescent="0.25">
      <c r="B12" t="s">
        <v>15</v>
      </c>
      <c r="C12">
        <f>SUM(C10:C11)</f>
        <v>4</v>
      </c>
    </row>
    <row r="13" spans="2:8" x14ac:dyDescent="0.25">
      <c r="B13" t="s">
        <v>18</v>
      </c>
      <c r="C13">
        <f>COUNTIF(E4:E7, "Yes")</f>
        <v>2</v>
      </c>
    </row>
    <row r="14" spans="2:8" x14ac:dyDescent="0.25">
      <c r="B14" t="s">
        <v>21</v>
      </c>
      <c r="C14">
        <f>COUNTIF(G4:G7, "Yes")</f>
        <v>3</v>
      </c>
    </row>
    <row r="15" spans="2:8" x14ac:dyDescent="0.25">
      <c r="B15" t="s">
        <v>22</v>
      </c>
      <c r="C15">
        <f>COUNTIF(H4:H7, "Yes")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47E8-0A00-41D6-9D4B-14664AD95D51}">
  <dimension ref="B2:H25"/>
  <sheetViews>
    <sheetView topLeftCell="A9" zoomScale="115" zoomScaleNormal="115" workbookViewId="0">
      <selection activeCell="C26" sqref="C2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68</v>
      </c>
    </row>
    <row r="3" spans="2:8" x14ac:dyDescent="0.25">
      <c r="B3" t="s">
        <v>6</v>
      </c>
      <c r="C3" t="s">
        <v>7</v>
      </c>
      <c r="D3" t="s">
        <v>33</v>
      </c>
      <c r="E3" t="s">
        <v>34</v>
      </c>
      <c r="F3" t="s">
        <v>20</v>
      </c>
      <c r="G3" t="s">
        <v>19</v>
      </c>
      <c r="H3" s="11" t="s">
        <v>16</v>
      </c>
    </row>
    <row r="4" spans="2:8" x14ac:dyDescent="0.25">
      <c r="B4" s="7" t="s">
        <v>61</v>
      </c>
      <c r="C4" s="2" t="s">
        <v>14</v>
      </c>
      <c r="D4" s="4">
        <v>0.15</v>
      </c>
      <c r="E4" s="2" t="str">
        <f t="shared" ref="E4:E12" si="0">IF(C4="Major", IF($D4 &gt;= 0.3, "Yes", "No"), IF($D4 &lt; 0.3, "Yes", "No"))</f>
        <v>Yes</v>
      </c>
      <c r="F4" s="6">
        <f>0.09/0.999</f>
        <v>9.0090090090090086E-2</v>
      </c>
      <c r="G4" s="2" t="str">
        <f t="shared" ref="G4:G12" si="1">IF(C4="Major", IF($F4 &gt; 0.1, "Yes", "No"), IF($F4 &lt;= 0.1, "Yes", "No"))</f>
        <v>Yes</v>
      </c>
      <c r="H4" s="11" t="str">
        <f>IF(E4 = G4, "Yes", "No")</f>
        <v>Yes</v>
      </c>
    </row>
    <row r="5" spans="2:8" x14ac:dyDescent="0.25">
      <c r="B5" s="7" t="s">
        <v>62</v>
      </c>
      <c r="C5" s="2" t="s">
        <v>14</v>
      </c>
      <c r="D5" s="4">
        <v>2.9000000000000001E-2</v>
      </c>
      <c r="E5" s="2" t="str">
        <f t="shared" si="0"/>
        <v>Yes</v>
      </c>
      <c r="F5" s="6">
        <f>0.057/0.999</f>
        <v>5.7057057057057062E-2</v>
      </c>
      <c r="G5" s="2" t="str">
        <f t="shared" si="1"/>
        <v>Yes</v>
      </c>
      <c r="H5" s="11" t="str">
        <f t="shared" ref="H5:H12" si="2">IF(E5 = G5, "Yes", "No")</f>
        <v>Yes</v>
      </c>
    </row>
    <row r="6" spans="2:8" x14ac:dyDescent="0.25">
      <c r="B6" s="7" t="s">
        <v>60</v>
      </c>
      <c r="C6" s="2" t="s">
        <v>13</v>
      </c>
      <c r="D6" s="4">
        <v>0.28000000000000003</v>
      </c>
      <c r="E6" s="2" t="str">
        <f t="shared" si="0"/>
        <v>No</v>
      </c>
      <c r="F6" s="6">
        <v>0.19</v>
      </c>
      <c r="G6" s="2" t="str">
        <f t="shared" si="1"/>
        <v>Yes</v>
      </c>
      <c r="H6" s="11" t="str">
        <f t="shared" si="2"/>
        <v>No</v>
      </c>
    </row>
    <row r="7" spans="2:8" x14ac:dyDescent="0.25">
      <c r="B7" s="7" t="s">
        <v>67</v>
      </c>
      <c r="C7" s="2" t="s">
        <v>13</v>
      </c>
      <c r="D7" s="4">
        <v>0.24</v>
      </c>
      <c r="E7" s="2" t="str">
        <f t="shared" si="0"/>
        <v>No</v>
      </c>
      <c r="F7" s="6">
        <v>0.158</v>
      </c>
      <c r="G7" s="2" t="str">
        <f t="shared" si="1"/>
        <v>Yes</v>
      </c>
      <c r="H7" s="11" t="str">
        <f t="shared" si="2"/>
        <v>No</v>
      </c>
    </row>
    <row r="8" spans="2:8" x14ac:dyDescent="0.25">
      <c r="B8" s="7" t="s">
        <v>63</v>
      </c>
      <c r="C8" s="2" t="s">
        <v>13</v>
      </c>
      <c r="D8" s="4">
        <v>0.17</v>
      </c>
      <c r="E8" s="2" t="str">
        <f t="shared" si="0"/>
        <v>No</v>
      </c>
      <c r="F8" s="6">
        <v>5.6000000000000001E-2</v>
      </c>
      <c r="G8" s="2" t="str">
        <f t="shared" si="1"/>
        <v>No</v>
      </c>
      <c r="H8" s="11" t="str">
        <f t="shared" si="2"/>
        <v>Yes</v>
      </c>
    </row>
    <row r="9" spans="2:8" x14ac:dyDescent="0.25">
      <c r="B9" s="7" t="s">
        <v>64</v>
      </c>
      <c r="C9" s="2" t="s">
        <v>13</v>
      </c>
      <c r="D9" s="4">
        <v>0.18</v>
      </c>
      <c r="E9" s="2" t="str">
        <f t="shared" si="0"/>
        <v>No</v>
      </c>
      <c r="F9" s="6">
        <f>0.143/0.999</f>
        <v>0.14314314314314314</v>
      </c>
      <c r="G9" s="2" t="str">
        <f t="shared" si="1"/>
        <v>Yes</v>
      </c>
      <c r="H9" s="11" t="str">
        <f t="shared" si="2"/>
        <v>No</v>
      </c>
    </row>
    <row r="10" spans="2:8" x14ac:dyDescent="0.25">
      <c r="B10" s="7" t="s">
        <v>65</v>
      </c>
      <c r="C10" s="2" t="s">
        <v>14</v>
      </c>
      <c r="D10" s="4">
        <v>3.4000000000000002E-2</v>
      </c>
      <c r="E10" s="2" t="str">
        <f t="shared" si="0"/>
        <v>Yes</v>
      </c>
      <c r="F10" s="6">
        <f>0.057/0.999</f>
        <v>5.7057057057057062E-2</v>
      </c>
      <c r="G10" s="2" t="str">
        <f t="shared" si="1"/>
        <v>Yes</v>
      </c>
      <c r="H10" s="11" t="str">
        <f t="shared" si="2"/>
        <v>Yes</v>
      </c>
    </row>
    <row r="11" spans="2:8" x14ac:dyDescent="0.25">
      <c r="B11" s="7" t="s">
        <v>59</v>
      </c>
      <c r="C11" s="2" t="s">
        <v>13</v>
      </c>
      <c r="D11" s="4">
        <v>0.15</v>
      </c>
      <c r="E11" s="2" t="str">
        <f t="shared" si="0"/>
        <v>No</v>
      </c>
      <c r="F11" s="6">
        <v>0.21199999999999999</v>
      </c>
      <c r="G11" s="2" t="str">
        <f t="shared" si="1"/>
        <v>Yes</v>
      </c>
      <c r="H11" s="11" t="str">
        <f t="shared" si="2"/>
        <v>No</v>
      </c>
    </row>
    <row r="12" spans="2:8" x14ac:dyDescent="0.25">
      <c r="B12" s="7" t="s">
        <v>66</v>
      </c>
      <c r="C12" s="2" t="s">
        <v>14</v>
      </c>
      <c r="D12" s="4">
        <v>0.03</v>
      </c>
      <c r="E12" s="2" t="str">
        <f t="shared" si="0"/>
        <v>Yes</v>
      </c>
      <c r="F12" s="6">
        <f>0.036/0.999</f>
        <v>3.6036036036036036E-2</v>
      </c>
      <c r="G12" s="2" t="str">
        <f t="shared" si="1"/>
        <v>Yes</v>
      </c>
      <c r="H12" s="11" t="str">
        <f t="shared" si="2"/>
        <v>Yes</v>
      </c>
    </row>
    <row r="13" spans="2:8" x14ac:dyDescent="0.25">
      <c r="H13" s="6"/>
    </row>
    <row r="20" spans="2:3" x14ac:dyDescent="0.25">
      <c r="B20" t="s">
        <v>4</v>
      </c>
      <c r="C20">
        <f>COUNTIF(C4:C12,"Major")</f>
        <v>5</v>
      </c>
    </row>
    <row r="21" spans="2:3" x14ac:dyDescent="0.25">
      <c r="B21" t="s">
        <v>5</v>
      </c>
      <c r="C21">
        <f>COUNTIF(C4:C12,"Minor")</f>
        <v>4</v>
      </c>
    </row>
    <row r="22" spans="2:3" x14ac:dyDescent="0.25">
      <c r="B22" t="s">
        <v>15</v>
      </c>
      <c r="C22">
        <f>SUM(C20:C21)</f>
        <v>9</v>
      </c>
    </row>
    <row r="23" spans="2:3" x14ac:dyDescent="0.25">
      <c r="B23" t="s">
        <v>18</v>
      </c>
      <c r="C23">
        <f>COUNTIF(E4:E12, "Yes")</f>
        <v>4</v>
      </c>
    </row>
    <row r="24" spans="2:3" x14ac:dyDescent="0.25">
      <c r="B24" t="s">
        <v>21</v>
      </c>
      <c r="C24">
        <f>COUNTIF(G4:G12, "Yes")</f>
        <v>8</v>
      </c>
    </row>
    <row r="25" spans="2:3" x14ac:dyDescent="0.25">
      <c r="B25" t="s">
        <v>22</v>
      </c>
      <c r="C25">
        <f>COUNTIF(H4:H12, "Yes")</f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0FDF-8333-4616-84A1-863B5D360498}">
  <dimension ref="B2:H13"/>
  <sheetViews>
    <sheetView zoomScale="85" zoomScaleNormal="85" workbookViewId="0">
      <selection activeCell="F4" sqref="F4:F5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1</v>
      </c>
    </row>
    <row r="3" spans="2:8" x14ac:dyDescent="0.25">
      <c r="B3" t="s">
        <v>6</v>
      </c>
      <c r="C3" t="s">
        <v>7</v>
      </c>
      <c r="D3" s="2" t="s">
        <v>25</v>
      </c>
      <c r="E3" s="2" t="s">
        <v>71</v>
      </c>
      <c r="F3" s="2" t="s">
        <v>20</v>
      </c>
      <c r="G3" s="2" t="s">
        <v>19</v>
      </c>
      <c r="H3" t="s">
        <v>27</v>
      </c>
    </row>
    <row r="4" spans="2:8" x14ac:dyDescent="0.25">
      <c r="B4" t="s">
        <v>23</v>
      </c>
      <c r="C4" s="2" t="s">
        <v>13</v>
      </c>
      <c r="D4" s="8">
        <v>2.751181E-39</v>
      </c>
      <c r="E4" s="2" t="str">
        <f>IF($C4 = "Major", IF($D4 &lt; 0.05, "Yes", "No"), IF($D4 &gt;= 0.05, "Yes", "No"))</f>
        <v>Yes</v>
      </c>
      <c r="F4" s="13">
        <v>1</v>
      </c>
      <c r="G4" s="2" t="str">
        <f>IF($C4="Major",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t="s">
        <v>69</v>
      </c>
      <c r="C5" s="2" t="s">
        <v>13</v>
      </c>
      <c r="D5" s="8">
        <v>6.6670000000000001E-8</v>
      </c>
      <c r="E5" s="2" t="str">
        <f>IF($C5 = "Major", IF($D5 &lt; 0.05, "Yes", "No"), IF($D5 &gt;= 0.05, "Yes", "No"))</f>
        <v>Yes</v>
      </c>
      <c r="F5">
        <v>0</v>
      </c>
      <c r="G5" s="2" t="str">
        <f>IF($C5="Major", IF($F5 &gt; 0.1, "Yes", "No"), IF($F5 &lt;= 0.1, "Yes", "No"))</f>
        <v>No</v>
      </c>
      <c r="H5" s="2" t="str">
        <f>IF(E5 = G5, "Yes", "No")</f>
        <v>No</v>
      </c>
    </row>
    <row r="6" spans="2:8" x14ac:dyDescent="0.25">
      <c r="B6" t="s">
        <v>24</v>
      </c>
      <c r="C6" s="2" t="s">
        <v>14</v>
      </c>
      <c r="D6" s="8">
        <v>1.3864399999999999E-13</v>
      </c>
      <c r="E6" s="2" t="str">
        <f>IF($C6 = "Major", IF($D6 &lt; 0.05, "Yes", "No"), IF($D6 &gt;= 0.05, "Yes", "No"))</f>
        <v>No</v>
      </c>
      <c r="F6">
        <v>0</v>
      </c>
      <c r="G6" s="2" t="str">
        <f>IF($C6="Major", IF($F6 &gt; 0.1, "Yes", "No"), IF($F6 &lt;= 0.1, "Yes", "No"))</f>
        <v>Yes</v>
      </c>
      <c r="H6" s="2" t="str">
        <f>IF(E6 = G6, "Yes", "No")</f>
        <v>No</v>
      </c>
    </row>
    <row r="8" spans="2:8" x14ac:dyDescent="0.25">
      <c r="B8" t="s">
        <v>4</v>
      </c>
      <c r="C8">
        <f>COUNTIF($C2:$C6,"Major")</f>
        <v>2</v>
      </c>
    </row>
    <row r="9" spans="2:8" x14ac:dyDescent="0.25">
      <c r="B9" t="s">
        <v>5</v>
      </c>
      <c r="C9">
        <f>COUNTIF($C2:$C6,"Minor")</f>
        <v>1</v>
      </c>
    </row>
    <row r="10" spans="2:8" x14ac:dyDescent="0.25">
      <c r="B10" t="s">
        <v>15</v>
      </c>
      <c r="C10">
        <f>SUM(C8:C9)</f>
        <v>3</v>
      </c>
    </row>
    <row r="11" spans="2:8" x14ac:dyDescent="0.25">
      <c r="B11" t="s">
        <v>18</v>
      </c>
      <c r="C11">
        <f>COUNTIF(E4:E6, "Yes")</f>
        <v>2</v>
      </c>
    </row>
    <row r="12" spans="2:8" x14ac:dyDescent="0.25">
      <c r="B12" t="s">
        <v>21</v>
      </c>
      <c r="C12">
        <f>COUNTIF($G4:$G6, "Yes")</f>
        <v>2</v>
      </c>
    </row>
    <row r="13" spans="2:8" x14ac:dyDescent="0.25">
      <c r="B13" t="s">
        <v>22</v>
      </c>
      <c r="C13">
        <f>COUNTIF($H4:$H6, "Yes")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CDBA-AD28-4CF8-AA1C-9FF387F3EF90}">
  <dimension ref="B2:H14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44.42578125" customWidth="1"/>
    <col min="9" max="9" width="39.28515625" customWidth="1"/>
    <col min="10" max="10" width="38.5703125" customWidth="1"/>
  </cols>
  <sheetData>
    <row r="2" spans="2:8" x14ac:dyDescent="0.25">
      <c r="B2" t="s">
        <v>38</v>
      </c>
    </row>
    <row r="3" spans="2:8" x14ac:dyDescent="0.25">
      <c r="B3" t="s">
        <v>6</v>
      </c>
      <c r="C3" t="s">
        <v>7</v>
      </c>
      <c r="D3" s="2" t="s">
        <v>25</v>
      </c>
      <c r="E3" s="2" t="s">
        <v>72</v>
      </c>
      <c r="F3" s="2" t="s">
        <v>20</v>
      </c>
      <c r="G3" s="2" t="s">
        <v>19</v>
      </c>
      <c r="H3" t="s">
        <v>27</v>
      </c>
    </row>
    <row r="4" spans="2:8" x14ac:dyDescent="0.25">
      <c r="B4" t="s">
        <v>23</v>
      </c>
      <c r="C4" s="2" t="s">
        <v>13</v>
      </c>
      <c r="D4" s="8">
        <v>2.751181E-39</v>
      </c>
      <c r="E4" s="2" t="str">
        <f>IF($C4 = "Major", IF($D4 &lt; 0.05, "Yes", "No"), IF($D4 &gt;= 0.05, "Yes", "No"))</f>
        <v>Yes</v>
      </c>
      <c r="F4" s="5">
        <v>0.53200000000000003</v>
      </c>
      <c r="G4" s="2" t="str">
        <f>IF($C4="Major",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t="s">
        <v>69</v>
      </c>
      <c r="C5" s="2" t="s">
        <v>13</v>
      </c>
      <c r="D5" s="8">
        <v>6.6670000000000001E-8</v>
      </c>
      <c r="E5" s="2" t="str">
        <f>IF($C5 = "Major", IF($D5 &lt; 0.05, "Yes", "No"), IF($D5 &gt;= 0.05, "Yes", "No"))</f>
        <v>Yes</v>
      </c>
      <c r="F5" s="6">
        <v>0.2</v>
      </c>
      <c r="G5" s="2" t="str">
        <f>IF($C5="Major", IF($F5 &gt; 0.1, "Yes", "No"), IF($F5 &lt;= 0.1, "Yes", "No"))</f>
        <v>Yes</v>
      </c>
      <c r="H5" s="2" t="str">
        <f>IF(E5 = G5, "Yes", "No")</f>
        <v>Yes</v>
      </c>
    </row>
    <row r="6" spans="2:8" x14ac:dyDescent="0.25">
      <c r="B6" t="s">
        <v>24</v>
      </c>
      <c r="C6" s="2" t="s">
        <v>14</v>
      </c>
      <c r="D6" s="8">
        <v>1.3864399999999999E-13</v>
      </c>
      <c r="E6" s="2" t="str">
        <f>IF($C6 = "Major", IF($D6 &lt; 0.05, "Yes", "No"), IF($D6 &gt;= 0.05, "Yes", "No"))</f>
        <v>No</v>
      </c>
      <c r="F6" s="6">
        <v>0.26800000000000002</v>
      </c>
      <c r="G6" s="2" t="str">
        <f>IF($C6="Major", IF($F6 &gt; 0.1, "Yes", "No"), IF($F6 &lt;= 0.1, "Yes", "No"))</f>
        <v>No</v>
      </c>
      <c r="H6" s="2" t="str">
        <f>IF(E6 = G6, "Yes", "No")</f>
        <v>Yes</v>
      </c>
    </row>
    <row r="9" spans="2:8" x14ac:dyDescent="0.25">
      <c r="B9" t="s">
        <v>4</v>
      </c>
      <c r="C9">
        <f>COUNTIF($C2:$C6,"Major")</f>
        <v>2</v>
      </c>
    </row>
    <row r="10" spans="2:8" x14ac:dyDescent="0.25">
      <c r="B10" t="s">
        <v>5</v>
      </c>
      <c r="C10">
        <f>COUNTIF($C2:$C6,"Minor")</f>
        <v>1</v>
      </c>
    </row>
    <row r="11" spans="2:8" x14ac:dyDescent="0.25">
      <c r="B11" t="s">
        <v>15</v>
      </c>
      <c r="C11">
        <f>SUM(C9:C10)</f>
        <v>3</v>
      </c>
    </row>
    <row r="12" spans="2:8" x14ac:dyDescent="0.25">
      <c r="B12" t="s">
        <v>18</v>
      </c>
      <c r="C12">
        <f>COUNTIF(E4:E6, "Yes")</f>
        <v>2</v>
      </c>
    </row>
    <row r="13" spans="2:8" x14ac:dyDescent="0.25">
      <c r="B13" t="s">
        <v>21</v>
      </c>
      <c r="C13">
        <f>COUNTIF($G4:$G6, "Yes")</f>
        <v>2</v>
      </c>
    </row>
    <row r="14" spans="2:8" x14ac:dyDescent="0.25">
      <c r="B14" t="s">
        <v>22</v>
      </c>
      <c r="C14">
        <f>COUNTIF($H4:$H6, "Yes")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EB7E-95CD-42C5-8432-947188DD11EA}">
  <dimension ref="B2:H13"/>
  <sheetViews>
    <sheetView zoomScaleNormal="100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3</v>
      </c>
    </row>
    <row r="3" spans="2:8" x14ac:dyDescent="0.25">
      <c r="B3" t="s">
        <v>6</v>
      </c>
      <c r="C3" t="s">
        <v>7</v>
      </c>
      <c r="D3" s="2" t="s">
        <v>25</v>
      </c>
      <c r="E3" s="2" t="s">
        <v>26</v>
      </c>
      <c r="F3" s="2" t="s">
        <v>20</v>
      </c>
      <c r="G3" s="2" t="s">
        <v>19</v>
      </c>
      <c r="H3" t="s">
        <v>27</v>
      </c>
    </row>
    <row r="4" spans="2:8" x14ac:dyDescent="0.25">
      <c r="B4" t="s">
        <v>23</v>
      </c>
      <c r="C4" s="2" t="s">
        <v>13</v>
      </c>
      <c r="D4" s="8">
        <v>2.751181E-39</v>
      </c>
      <c r="E4" s="2" t="str">
        <f>IF($C4 = "Major", IF($D4 &lt; 0.05, "Yes", "No"), IF($D4 &gt;= 0.05, "Yes", "No"))</f>
        <v>Yes</v>
      </c>
      <c r="F4" s="5">
        <v>0.9</v>
      </c>
      <c r="G4" s="2" t="str">
        <f>IF($C4="Major",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t="s">
        <v>69</v>
      </c>
      <c r="C5" s="2" t="s">
        <v>13</v>
      </c>
      <c r="D5" s="8">
        <v>6.6670000000000001E-8</v>
      </c>
      <c r="E5" s="2" t="str">
        <f>IF($C5 = "Major", IF($D5 &lt; 0.05, "Yes", "No"), IF($D5 &gt;= 0.05, "Yes", "No"))</f>
        <v>Yes</v>
      </c>
      <c r="F5" s="6">
        <v>2.7E-2</v>
      </c>
      <c r="G5" s="2" t="str">
        <f>IF($C5="Major", IF($F5 &gt; 0.1, "Yes", "No"), IF($F5 &lt;= 0.1, "Yes", "No"))</f>
        <v>No</v>
      </c>
      <c r="H5" s="2" t="str">
        <f>IF(E5 = G5, "Yes", "No")</f>
        <v>No</v>
      </c>
    </row>
    <row r="6" spans="2:8" x14ac:dyDescent="0.25">
      <c r="B6" t="s">
        <v>24</v>
      </c>
      <c r="C6" s="2" t="s">
        <v>14</v>
      </c>
      <c r="D6" s="8">
        <v>1.3864399999999999E-13</v>
      </c>
      <c r="E6" s="2" t="str">
        <f>IF($C6 = "Major", IF($D6 &lt; 0.05, "Yes", "No"), IF($D6 &gt;= 0.05, "Yes", "No"))</f>
        <v>No</v>
      </c>
      <c r="F6" s="6">
        <v>7.1999999999999995E-2</v>
      </c>
      <c r="G6" s="2" t="str">
        <f>IF($C6="Major", IF($F6 &gt; 0.1, "Yes", "No"), IF($F6 &lt;= 0.1, "Yes", "No"))</f>
        <v>Yes</v>
      </c>
      <c r="H6" s="2" t="str">
        <f>IF(E6 = G6, "Yes", "No")</f>
        <v>No</v>
      </c>
    </row>
    <row r="8" spans="2:8" x14ac:dyDescent="0.25">
      <c r="B8" t="s">
        <v>4</v>
      </c>
      <c r="C8">
        <f>COUNTIF($C2:$C6,"Major")</f>
        <v>2</v>
      </c>
    </row>
    <row r="9" spans="2:8" x14ac:dyDescent="0.25">
      <c r="B9" t="s">
        <v>5</v>
      </c>
      <c r="C9">
        <f>COUNTIF($C2:$C6,"Minor")</f>
        <v>1</v>
      </c>
    </row>
    <row r="10" spans="2:8" x14ac:dyDescent="0.25">
      <c r="B10" t="s">
        <v>15</v>
      </c>
      <c r="C10">
        <f>SUM(C8:C9)</f>
        <v>3</v>
      </c>
    </row>
    <row r="11" spans="2:8" x14ac:dyDescent="0.25">
      <c r="B11" t="s">
        <v>18</v>
      </c>
      <c r="C11">
        <f>COUNTIF(E4:E6, "Yes")</f>
        <v>2</v>
      </c>
    </row>
    <row r="12" spans="2:8" x14ac:dyDescent="0.25">
      <c r="B12" t="s">
        <v>21</v>
      </c>
      <c r="C12">
        <f>COUNTIF($G4:$G6, "Yes")</f>
        <v>2</v>
      </c>
    </row>
    <row r="13" spans="2:8" x14ac:dyDescent="0.25">
      <c r="B13" t="s">
        <v>22</v>
      </c>
      <c r="C13">
        <f>COUNTIF($H4:$H6, "Yes")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6E31-B800-4684-8EF1-BF42614F904A}">
  <dimension ref="B2:H13"/>
  <sheetViews>
    <sheetView topLeftCell="C1" zoomScale="85" zoomScaleNormal="85" workbookViewId="0">
      <selection activeCell="C12" sqref="C12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</v>
      </c>
    </row>
    <row r="3" spans="2:8" x14ac:dyDescent="0.25">
      <c r="B3" t="s">
        <v>6</v>
      </c>
      <c r="C3" t="s">
        <v>7</v>
      </c>
      <c r="D3" s="2" t="s">
        <v>25</v>
      </c>
      <c r="E3" s="2" t="s">
        <v>26</v>
      </c>
      <c r="F3" s="2" t="s">
        <v>20</v>
      </c>
      <c r="G3" s="2" t="s">
        <v>19</v>
      </c>
      <c r="H3" t="s">
        <v>27</v>
      </c>
    </row>
    <row r="4" spans="2:8" x14ac:dyDescent="0.25">
      <c r="B4" t="s">
        <v>23</v>
      </c>
      <c r="C4" s="2" t="s">
        <v>13</v>
      </c>
      <c r="D4" s="3">
        <v>2.751181E-39</v>
      </c>
      <c r="E4" s="2" t="str">
        <f>IF($C4 = "Major", IF($D4 &lt; 0.05, "Yes", "No"), IF($D4 &gt;= 0.05, "Yes", "No"))</f>
        <v>Yes</v>
      </c>
      <c r="F4" s="13">
        <v>1</v>
      </c>
      <c r="G4" s="2" t="str">
        <f>IF($C4="Major",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t="s">
        <v>69</v>
      </c>
      <c r="C5" s="2" t="s">
        <v>13</v>
      </c>
      <c r="D5" s="3">
        <v>6.6699999999999995E-8</v>
      </c>
      <c r="E5" s="2" t="str">
        <f>IF($C5 = "Major", IF($D5 &lt; 0.05, "Yes", "No"), IF($D5 &gt;= 0.05, "Yes", "No"))</f>
        <v>Yes</v>
      </c>
      <c r="F5" s="14">
        <v>0</v>
      </c>
      <c r="G5" s="2" t="str">
        <f>IF($C5="Major", IF($F5 &gt; 0.1, "Yes", "No"), IF($F5 &lt;= 0.1, "Yes", "No"))</f>
        <v>No</v>
      </c>
      <c r="H5" s="2" t="str">
        <f>IF(E5 = G5, "Yes", "No")</f>
        <v>No</v>
      </c>
    </row>
    <row r="6" spans="2:8" x14ac:dyDescent="0.25">
      <c r="B6" t="s">
        <v>24</v>
      </c>
      <c r="C6" s="2" t="s">
        <v>14</v>
      </c>
      <c r="D6" s="3">
        <v>1.3864399999999999E-13</v>
      </c>
      <c r="E6" s="2" t="str">
        <f>IF($C6 = "Major", IF($D6 &lt; 0.05, "Yes", "No"), IF($D6 &gt;= 0.05, "Yes", "No"))</f>
        <v>No</v>
      </c>
      <c r="F6" s="14">
        <v>0</v>
      </c>
      <c r="G6" s="2" t="str">
        <f>IF($C6="Major", IF($F6 &gt; 0.1, "Yes", "No"), IF($F6 &lt;= 0.1, "Yes", "No"))</f>
        <v>Yes</v>
      </c>
      <c r="H6" s="2" t="str">
        <f>IF(E6 = G6, "Yes", "No")</f>
        <v>No</v>
      </c>
    </row>
    <row r="8" spans="2:8" x14ac:dyDescent="0.25">
      <c r="B8" t="s">
        <v>4</v>
      </c>
      <c r="C8">
        <f>COUNTIF($C2:$C6,"Major")</f>
        <v>2</v>
      </c>
    </row>
    <row r="9" spans="2:8" x14ac:dyDescent="0.25">
      <c r="B9" t="s">
        <v>5</v>
      </c>
      <c r="C9">
        <f>COUNTIF($C2:$C6,"Minor")</f>
        <v>1</v>
      </c>
    </row>
    <row r="10" spans="2:8" x14ac:dyDescent="0.25">
      <c r="B10" t="s">
        <v>15</v>
      </c>
      <c r="C10">
        <f>SUM(C8:C9)</f>
        <v>3</v>
      </c>
    </row>
    <row r="11" spans="2:8" x14ac:dyDescent="0.25">
      <c r="B11" t="s">
        <v>18</v>
      </c>
      <c r="C11">
        <f>COUNTIF(E4:E6, "Yes")</f>
        <v>2</v>
      </c>
    </row>
    <row r="12" spans="2:8" x14ac:dyDescent="0.25">
      <c r="B12" t="s">
        <v>21</v>
      </c>
      <c r="C12">
        <f>COUNTIF($G4:$G6, "Yes")</f>
        <v>2</v>
      </c>
    </row>
    <row r="13" spans="2:8" x14ac:dyDescent="0.25">
      <c r="B13" t="s">
        <v>22</v>
      </c>
      <c r="C13">
        <f>COUNTIF($H4:$H6, "Yes")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6D21-5867-4F93-93AF-46CC494D9D97}">
  <dimension ref="B2:H30"/>
  <sheetViews>
    <sheetView tabSelected="1" zoomScale="85" zoomScaleNormal="85" workbookViewId="0">
      <selection activeCell="F24" sqref="F24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39</v>
      </c>
    </row>
    <row r="3" spans="2:8" x14ac:dyDescent="0.25">
      <c r="B3" t="s">
        <v>6</v>
      </c>
      <c r="C3" t="s">
        <v>7</v>
      </c>
      <c r="D3" s="2" t="s">
        <v>25</v>
      </c>
      <c r="E3" s="2" t="s">
        <v>26</v>
      </c>
      <c r="F3" s="2" t="s">
        <v>20</v>
      </c>
      <c r="G3" s="2" t="s">
        <v>19</v>
      </c>
      <c r="H3" t="s">
        <v>27</v>
      </c>
    </row>
    <row r="4" spans="2:8" x14ac:dyDescent="0.25">
      <c r="B4" t="s">
        <v>40</v>
      </c>
      <c r="C4" s="2" t="s">
        <v>13</v>
      </c>
      <c r="D4" s="8">
        <v>4.4766000000000001E-4</v>
      </c>
      <c r="E4" s="2" t="str">
        <f t="shared" ref="E4:E22" si="0">IF($C4 = "Major", IF($D4 &lt; 0.05, "Yes", "No"), IF($D4 &gt;= 0.05, "Yes", "No"))</f>
        <v>Yes</v>
      </c>
      <c r="F4" s="6">
        <v>9.3984604894827906E-2</v>
      </c>
      <c r="G4" s="2" t="str">
        <f t="shared" ref="G4:G22" si="1">IF($C4="Major", IF($F4 &gt; 0.1, "Yes", "No"), IF($F4 &lt;= 0.1, "Yes", "No"))</f>
        <v>No</v>
      </c>
      <c r="H4" s="2" t="str">
        <f t="shared" ref="H4:H22" si="2">IF(OR( (AND(D4 &lt; 0.05, F4 &gt; 0.1)), (AND(D4 &gt;= 0.05, F4 &lt;= 0.1))), "Yes", "No")</f>
        <v>No</v>
      </c>
    </row>
    <row r="5" spans="2:8" x14ac:dyDescent="0.25">
      <c r="B5" t="s">
        <v>41</v>
      </c>
      <c r="C5" s="2" t="s">
        <v>13</v>
      </c>
      <c r="D5" s="8">
        <v>1.2039E-4</v>
      </c>
      <c r="E5" s="2" t="str">
        <f t="shared" si="0"/>
        <v>Yes</v>
      </c>
      <c r="F5" s="6">
        <v>3.90941260204044E-2</v>
      </c>
      <c r="G5" s="2" t="str">
        <f t="shared" si="1"/>
        <v>No</v>
      </c>
      <c r="H5" s="2" t="str">
        <f t="shared" si="2"/>
        <v>No</v>
      </c>
    </row>
    <row r="6" spans="2:8" x14ac:dyDescent="0.25">
      <c r="B6" t="s">
        <v>42</v>
      </c>
      <c r="C6" s="2" t="s">
        <v>13</v>
      </c>
      <c r="D6" s="8">
        <v>9.4777000000000004E-3</v>
      </c>
      <c r="E6" s="2" t="str">
        <f t="shared" si="0"/>
        <v>Yes</v>
      </c>
      <c r="F6" s="6">
        <v>3.9157140173577E-2</v>
      </c>
      <c r="G6" s="2" t="str">
        <f t="shared" si="1"/>
        <v>No</v>
      </c>
      <c r="H6" s="2" t="str">
        <f t="shared" si="2"/>
        <v>No</v>
      </c>
    </row>
    <row r="7" spans="2:8" x14ac:dyDescent="0.25">
      <c r="B7" t="s">
        <v>43</v>
      </c>
      <c r="C7" s="2" t="s">
        <v>13</v>
      </c>
      <c r="D7" s="8">
        <v>6.8495999999999996E-7</v>
      </c>
      <c r="E7" s="2" t="str">
        <f t="shared" si="0"/>
        <v>Yes</v>
      </c>
      <c r="F7" s="6">
        <v>5.1802958907761799E-2</v>
      </c>
      <c r="G7" s="2" t="str">
        <f t="shared" si="1"/>
        <v>No</v>
      </c>
      <c r="H7" s="2" t="str">
        <f t="shared" si="2"/>
        <v>No</v>
      </c>
    </row>
    <row r="8" spans="2:8" x14ac:dyDescent="0.25">
      <c r="B8" t="s">
        <v>44</v>
      </c>
      <c r="C8" s="2" t="s">
        <v>14</v>
      </c>
      <c r="D8">
        <v>6.5124000000000001E-2</v>
      </c>
      <c r="E8" s="2" t="str">
        <f t="shared" si="0"/>
        <v>Yes</v>
      </c>
      <c r="F8" s="6">
        <v>5.5230701442523698E-2</v>
      </c>
      <c r="G8" s="2" t="str">
        <f t="shared" si="1"/>
        <v>Yes</v>
      </c>
      <c r="H8" s="2" t="str">
        <f t="shared" si="2"/>
        <v>Yes</v>
      </c>
    </row>
    <row r="9" spans="2:8" x14ac:dyDescent="0.25">
      <c r="B9" t="s">
        <v>45</v>
      </c>
      <c r="C9" s="2" t="s">
        <v>14</v>
      </c>
      <c r="D9" s="8">
        <v>8.0957999999999996E-4</v>
      </c>
      <c r="E9" s="2" t="str">
        <f t="shared" si="0"/>
        <v>No</v>
      </c>
      <c r="F9" s="6">
        <v>8.3826426822547401E-2</v>
      </c>
      <c r="G9" s="2" t="str">
        <f t="shared" si="1"/>
        <v>Yes</v>
      </c>
      <c r="H9" s="2" t="str">
        <f t="shared" si="2"/>
        <v>No</v>
      </c>
    </row>
    <row r="10" spans="2:8" x14ac:dyDescent="0.25">
      <c r="B10" t="s">
        <v>46</v>
      </c>
      <c r="C10" s="2" t="s">
        <v>13</v>
      </c>
      <c r="D10" s="8">
        <v>1.5844999999999999E-7</v>
      </c>
      <c r="E10" s="2" t="str">
        <f t="shared" si="0"/>
        <v>Yes</v>
      </c>
      <c r="F10" s="6">
        <v>8.2912543463954394E-2</v>
      </c>
      <c r="G10" s="2" t="str">
        <f t="shared" si="1"/>
        <v>No</v>
      </c>
      <c r="H10" s="2" t="str">
        <f t="shared" si="2"/>
        <v>No</v>
      </c>
    </row>
    <row r="11" spans="2:8" x14ac:dyDescent="0.25">
      <c r="B11" t="s">
        <v>47</v>
      </c>
      <c r="C11" s="2" t="s">
        <v>13</v>
      </c>
      <c r="D11" s="8">
        <v>1.9613E-24</v>
      </c>
      <c r="E11" s="2" t="str">
        <f t="shared" si="0"/>
        <v>Yes</v>
      </c>
      <c r="F11" s="6">
        <v>0.24175623501945501</v>
      </c>
      <c r="G11" s="2" t="str">
        <f t="shared" si="1"/>
        <v>Yes</v>
      </c>
      <c r="H11" s="2" t="str">
        <f t="shared" si="2"/>
        <v>Yes</v>
      </c>
    </row>
    <row r="12" spans="2:8" x14ac:dyDescent="0.25">
      <c r="B12" t="s">
        <v>48</v>
      </c>
      <c r="C12" s="2" t="s">
        <v>14</v>
      </c>
      <c r="D12">
        <v>0.91956000000000004</v>
      </c>
      <c r="E12" s="2" t="str">
        <f t="shared" si="0"/>
        <v>Yes</v>
      </c>
      <c r="F12" s="6">
        <v>1.02865120119859E-2</v>
      </c>
      <c r="G12" s="2" t="str">
        <f t="shared" si="1"/>
        <v>Yes</v>
      </c>
      <c r="H12" s="2" t="str">
        <f t="shared" si="2"/>
        <v>Yes</v>
      </c>
    </row>
    <row r="13" spans="2:8" x14ac:dyDescent="0.25">
      <c r="B13" t="s">
        <v>49</v>
      </c>
      <c r="C13" s="2" t="s">
        <v>13</v>
      </c>
      <c r="D13" s="8">
        <v>3.1108000000000001E-5</v>
      </c>
      <c r="E13" s="2" t="str">
        <f t="shared" si="0"/>
        <v>Yes</v>
      </c>
      <c r="F13" s="6">
        <v>1.47296972868937E-2</v>
      </c>
      <c r="G13" s="2" t="str">
        <f t="shared" si="1"/>
        <v>No</v>
      </c>
      <c r="H13" s="2" t="str">
        <f t="shared" si="2"/>
        <v>No</v>
      </c>
    </row>
    <row r="14" spans="2:8" x14ac:dyDescent="0.25">
      <c r="B14" t="s">
        <v>50</v>
      </c>
      <c r="C14" s="2" t="s">
        <v>14</v>
      </c>
      <c r="D14">
        <v>0.42742999999999998</v>
      </c>
      <c r="E14" s="2" t="str">
        <f t="shared" si="0"/>
        <v>Yes</v>
      </c>
      <c r="F14" s="6">
        <v>5.8362673403129402E-3</v>
      </c>
      <c r="G14" s="2" t="str">
        <f t="shared" si="1"/>
        <v>Yes</v>
      </c>
      <c r="H14" s="2" t="str">
        <f t="shared" si="2"/>
        <v>Yes</v>
      </c>
    </row>
    <row r="15" spans="2:8" x14ac:dyDescent="0.25">
      <c r="B15" t="s">
        <v>51</v>
      </c>
      <c r="C15" s="2" t="s">
        <v>14</v>
      </c>
      <c r="D15">
        <v>0.21348</v>
      </c>
      <c r="E15" s="2" t="str">
        <f t="shared" si="0"/>
        <v>Yes</v>
      </c>
      <c r="F15" s="6">
        <v>2.9031860698207602E-3</v>
      </c>
      <c r="G15" s="2" t="str">
        <f t="shared" si="1"/>
        <v>Yes</v>
      </c>
      <c r="H15" s="2" t="str">
        <f t="shared" si="2"/>
        <v>Yes</v>
      </c>
    </row>
    <row r="16" spans="2:8" x14ac:dyDescent="0.25">
      <c r="B16" t="s">
        <v>52</v>
      </c>
      <c r="C16" s="2" t="s">
        <v>13</v>
      </c>
      <c r="D16">
        <v>3.2316999999999999E-2</v>
      </c>
      <c r="E16" s="2" t="str">
        <f t="shared" si="0"/>
        <v>Yes</v>
      </c>
      <c r="F16" s="6">
        <v>4.5976387108636703E-3</v>
      </c>
      <c r="G16" s="2" t="str">
        <f t="shared" si="1"/>
        <v>No</v>
      </c>
      <c r="H16" s="2" t="str">
        <f t="shared" si="2"/>
        <v>No</v>
      </c>
    </row>
    <row r="17" spans="2:8" x14ac:dyDescent="0.25">
      <c r="B17" t="s">
        <v>53</v>
      </c>
      <c r="C17" s="2" t="s">
        <v>14</v>
      </c>
      <c r="D17">
        <v>0.33599000000000001</v>
      </c>
      <c r="E17" s="2" t="str">
        <f t="shared" si="0"/>
        <v>Yes</v>
      </c>
      <c r="F17" s="6">
        <v>2.51822104035666E-2</v>
      </c>
      <c r="G17" s="2" t="str">
        <f t="shared" si="1"/>
        <v>Yes</v>
      </c>
      <c r="H17" s="2" t="str">
        <f t="shared" si="2"/>
        <v>Yes</v>
      </c>
    </row>
    <row r="18" spans="2:8" x14ac:dyDescent="0.25">
      <c r="B18" t="s">
        <v>54</v>
      </c>
      <c r="C18" s="2" t="s">
        <v>13</v>
      </c>
      <c r="D18" s="8">
        <v>7.0868E-5</v>
      </c>
      <c r="E18" s="2" t="str">
        <f t="shared" si="0"/>
        <v>Yes</v>
      </c>
      <c r="F18" s="6">
        <v>2.4219249081870401E-2</v>
      </c>
      <c r="G18" s="2" t="str">
        <f t="shared" si="1"/>
        <v>No</v>
      </c>
      <c r="H18" s="2" t="str">
        <f t="shared" si="2"/>
        <v>No</v>
      </c>
    </row>
    <row r="19" spans="2:8" x14ac:dyDescent="0.25">
      <c r="B19" t="s">
        <v>55</v>
      </c>
      <c r="C19" s="2" t="s">
        <v>14</v>
      </c>
      <c r="D19">
        <v>0.73111000000000004</v>
      </c>
      <c r="E19" s="2" t="str">
        <f t="shared" si="0"/>
        <v>Yes</v>
      </c>
      <c r="F19" s="6">
        <v>4.6495231389214403E-3</v>
      </c>
      <c r="G19" s="2" t="str">
        <f t="shared" si="1"/>
        <v>Yes</v>
      </c>
      <c r="H19" s="2" t="str">
        <f t="shared" si="2"/>
        <v>Yes</v>
      </c>
    </row>
    <row r="20" spans="2:8" x14ac:dyDescent="0.25">
      <c r="B20" t="s">
        <v>56</v>
      </c>
      <c r="C20" s="2" t="s">
        <v>13</v>
      </c>
      <c r="D20" s="8">
        <v>1.1064999999999999E-6</v>
      </c>
      <c r="E20" s="2" t="str">
        <f t="shared" si="0"/>
        <v>Yes</v>
      </c>
      <c r="F20" s="6">
        <v>8.9759149680617906E-2</v>
      </c>
      <c r="G20" s="2" t="str">
        <f t="shared" si="1"/>
        <v>No</v>
      </c>
      <c r="H20" s="2" t="str">
        <f t="shared" si="2"/>
        <v>No</v>
      </c>
    </row>
    <row r="21" spans="2:8" x14ac:dyDescent="0.25">
      <c r="B21" t="s">
        <v>57</v>
      </c>
      <c r="C21" s="2" t="s">
        <v>14</v>
      </c>
      <c r="D21">
        <v>0.12676000000000001</v>
      </c>
      <c r="E21" s="2" t="str">
        <f t="shared" si="0"/>
        <v>Yes</v>
      </c>
      <c r="F21" s="6">
        <v>5.28360538687071E-2</v>
      </c>
      <c r="G21" s="2" t="str">
        <f t="shared" si="1"/>
        <v>Yes</v>
      </c>
      <c r="H21" s="2" t="str">
        <f t="shared" si="2"/>
        <v>Yes</v>
      </c>
    </row>
    <row r="22" spans="2:8" x14ac:dyDescent="0.25">
      <c r="B22" t="s">
        <v>58</v>
      </c>
      <c r="C22" s="2" t="s">
        <v>14</v>
      </c>
      <c r="D22" s="8">
        <v>8.3077000000000004E-5</v>
      </c>
      <c r="E22" s="2" t="str">
        <f t="shared" si="0"/>
        <v>No</v>
      </c>
      <c r="F22" s="6">
        <v>7.7235775661386799E-2</v>
      </c>
      <c r="G22" s="2" t="str">
        <f t="shared" si="1"/>
        <v>Yes</v>
      </c>
      <c r="H22" s="2" t="str">
        <f t="shared" si="2"/>
        <v>No</v>
      </c>
    </row>
    <row r="23" spans="2:8" x14ac:dyDescent="0.25">
      <c r="F23" s="6"/>
    </row>
    <row r="25" spans="2:8" x14ac:dyDescent="0.25">
      <c r="B25" t="s">
        <v>4</v>
      </c>
      <c r="C25">
        <f>COUNTIF($C4:$C22,"Major")</f>
        <v>10</v>
      </c>
    </row>
    <row r="26" spans="2:8" x14ac:dyDescent="0.25">
      <c r="B26" t="s">
        <v>5</v>
      </c>
      <c r="C26">
        <f>COUNTIF($C4:$C22,"Minor")</f>
        <v>9</v>
      </c>
    </row>
    <row r="27" spans="2:8" x14ac:dyDescent="0.25">
      <c r="B27" t="s">
        <v>15</v>
      </c>
      <c r="C27">
        <f>SUM(C25:C26)</f>
        <v>19</v>
      </c>
    </row>
    <row r="28" spans="2:8" x14ac:dyDescent="0.25">
      <c r="B28" t="s">
        <v>18</v>
      </c>
      <c r="C28">
        <f>COUNTIF(E4:E22, "Yes")</f>
        <v>17</v>
      </c>
    </row>
    <row r="29" spans="2:8" x14ac:dyDescent="0.25">
      <c r="B29" t="s">
        <v>21</v>
      </c>
      <c r="C29">
        <f>COUNTIF(G4:G22, "Yes")</f>
        <v>10</v>
      </c>
    </row>
    <row r="30" spans="2:8" x14ac:dyDescent="0.25">
      <c r="B30" t="s">
        <v>22</v>
      </c>
      <c r="C30">
        <f>COUNTIF(H4:H22, "Yes")</f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DEF7-93DB-4CBF-9AA3-5CA27499DE23}">
  <dimension ref="A3:I66"/>
  <sheetViews>
    <sheetView topLeftCell="A46" workbookViewId="0">
      <selection activeCell="I50" sqref="I50"/>
    </sheetView>
  </sheetViews>
  <sheetFormatPr defaultRowHeight="15" x14ac:dyDescent="0.25"/>
  <cols>
    <col min="1" max="1" width="24.28515625" customWidth="1"/>
    <col min="2" max="2" width="16.85546875" customWidth="1"/>
    <col min="3" max="3" width="22.7109375" customWidth="1"/>
    <col min="4" max="4" width="16.85546875" customWidth="1"/>
    <col min="6" max="6" width="24.28515625" customWidth="1"/>
    <col min="7" max="7" width="24.85546875" customWidth="1"/>
    <col min="8" max="8" width="19.7109375" customWidth="1"/>
  </cols>
  <sheetData>
    <row r="3" spans="1:9" x14ac:dyDescent="0.25">
      <c r="A3" t="s">
        <v>73</v>
      </c>
      <c r="F3" t="s">
        <v>80</v>
      </c>
    </row>
    <row r="4" spans="1:9" x14ac:dyDescent="0.25">
      <c r="A4" t="s">
        <v>81</v>
      </c>
      <c r="B4">
        <f>'Case 1'!C13</f>
        <v>5</v>
      </c>
      <c r="F4" t="s">
        <v>81</v>
      </c>
      <c r="G4">
        <f>'Case 2'!C13</f>
        <v>5</v>
      </c>
    </row>
    <row r="5" spans="1:9" x14ac:dyDescent="0.25">
      <c r="A5" t="s">
        <v>82</v>
      </c>
      <c r="B5">
        <f>'Case 1'!C14</f>
        <v>4</v>
      </c>
      <c r="F5" t="s">
        <v>82</v>
      </c>
      <c r="G5">
        <f>'Case 2'!C14</f>
        <v>5</v>
      </c>
    </row>
    <row r="6" spans="1:9" x14ac:dyDescent="0.25">
      <c r="A6" t="s">
        <v>83</v>
      </c>
      <c r="B6">
        <f>'Case 1'!C15</f>
        <v>4</v>
      </c>
      <c r="F6" t="s">
        <v>83</v>
      </c>
      <c r="G6">
        <f>'Case 2'!C15</f>
        <v>5</v>
      </c>
    </row>
    <row r="7" spans="1:9" x14ac:dyDescent="0.25">
      <c r="A7" t="s">
        <v>17</v>
      </c>
      <c r="B7">
        <f>'Case 1'!C12</f>
        <v>5</v>
      </c>
      <c r="F7" t="s">
        <v>17</v>
      </c>
      <c r="G7">
        <f>'Case 2'!C12</f>
        <v>5</v>
      </c>
    </row>
    <row r="9" spans="1:9" x14ac:dyDescent="0.25">
      <c r="A9" t="s">
        <v>76</v>
      </c>
      <c r="B9" t="s">
        <v>37</v>
      </c>
      <c r="C9" t="s">
        <v>79</v>
      </c>
      <c r="D9" t="s">
        <v>78</v>
      </c>
      <c r="F9" t="s">
        <v>76</v>
      </c>
      <c r="G9" t="s">
        <v>37</v>
      </c>
      <c r="H9" t="s">
        <v>79</v>
      </c>
      <c r="I9" t="s">
        <v>78</v>
      </c>
    </row>
    <row r="10" spans="1:9" x14ac:dyDescent="0.25">
      <c r="A10" t="s">
        <v>74</v>
      </c>
      <c r="B10">
        <f>B4</f>
        <v>5</v>
      </c>
      <c r="C10">
        <f>B7</f>
        <v>5</v>
      </c>
      <c r="D10" s="15">
        <f>100*B10/C10</f>
        <v>100</v>
      </c>
      <c r="F10" t="s">
        <v>74</v>
      </c>
      <c r="G10">
        <f>G4</f>
        <v>5</v>
      </c>
      <c r="H10">
        <f>G7</f>
        <v>5</v>
      </c>
      <c r="I10" s="15">
        <f>100*G10/H10</f>
        <v>100</v>
      </c>
    </row>
    <row r="11" spans="1:9" x14ac:dyDescent="0.25">
      <c r="A11" t="s">
        <v>75</v>
      </c>
      <c r="B11">
        <f>B5</f>
        <v>4</v>
      </c>
      <c r="C11">
        <f>B7</f>
        <v>5</v>
      </c>
      <c r="D11" s="15">
        <f>100*B11/C11</f>
        <v>80</v>
      </c>
      <c r="F11" t="s">
        <v>75</v>
      </c>
      <c r="G11">
        <f>G5</f>
        <v>5</v>
      </c>
      <c r="H11">
        <f>G7</f>
        <v>5</v>
      </c>
      <c r="I11" s="15">
        <f>100*G11/H11</f>
        <v>100</v>
      </c>
    </row>
    <row r="12" spans="1:9" x14ac:dyDescent="0.25">
      <c r="A12" t="s">
        <v>77</v>
      </c>
      <c r="B12" s="1">
        <f>ROUND((0.5*(LOG10(B6/B7)+1)*B7)*10,0)/10</f>
        <v>2.2999999999999998</v>
      </c>
      <c r="C12">
        <f>B7*0.5</f>
        <v>2.5</v>
      </c>
      <c r="D12" s="16">
        <f>100*B12/C12</f>
        <v>91.999999999999986</v>
      </c>
      <c r="F12" t="s">
        <v>77</v>
      </c>
      <c r="G12" s="1">
        <f>ROUND((0.5*(LOG10(G6/G7)+1)*G7)*10,0)/10</f>
        <v>2.5</v>
      </c>
      <c r="H12">
        <f>G7*0.5</f>
        <v>2.5</v>
      </c>
      <c r="I12" s="16">
        <f>100*G12/H12</f>
        <v>100</v>
      </c>
    </row>
    <row r="13" spans="1:9" x14ac:dyDescent="0.25">
      <c r="A13" t="s">
        <v>0</v>
      </c>
      <c r="B13">
        <f>ROUND(SUM(B10:B12)*10,0)/10</f>
        <v>11.3</v>
      </c>
      <c r="C13">
        <f>SUM(C10:C12)</f>
        <v>12.5</v>
      </c>
      <c r="D13">
        <f>100*B13/C13</f>
        <v>90.4</v>
      </c>
      <c r="F13" t="s">
        <v>0</v>
      </c>
      <c r="G13">
        <f>ROUND(SUM(G10:G12)*10,0)/10</f>
        <v>12.5</v>
      </c>
      <c r="H13">
        <f>SUM(H10:H12)</f>
        <v>12.5</v>
      </c>
      <c r="I13">
        <f>100*G13/H13</f>
        <v>100</v>
      </c>
    </row>
    <row r="17" spans="1:9" x14ac:dyDescent="0.25">
      <c r="A17" t="s">
        <v>84</v>
      </c>
      <c r="F17" t="s">
        <v>85</v>
      </c>
    </row>
    <row r="18" spans="1:9" x14ac:dyDescent="0.25">
      <c r="A18" t="s">
        <v>81</v>
      </c>
      <c r="B18">
        <f>'Case 3'!C13</f>
        <v>2</v>
      </c>
      <c r="F18" t="s">
        <v>81</v>
      </c>
      <c r="G18">
        <f>'Case 4'!C23</f>
        <v>4</v>
      </c>
    </row>
    <row r="19" spans="1:9" x14ac:dyDescent="0.25">
      <c r="A19" t="s">
        <v>82</v>
      </c>
      <c r="B19">
        <f>'Case 3'!C14</f>
        <v>3</v>
      </c>
      <c r="F19" t="s">
        <v>82</v>
      </c>
      <c r="G19">
        <f>'Case 4'!C24</f>
        <v>8</v>
      </c>
    </row>
    <row r="20" spans="1:9" x14ac:dyDescent="0.25">
      <c r="A20" t="s">
        <v>83</v>
      </c>
      <c r="B20">
        <f>'Case 3'!C15</f>
        <v>3</v>
      </c>
      <c r="F20" t="s">
        <v>83</v>
      </c>
      <c r="G20">
        <f>'Case 4'!C25</f>
        <v>5</v>
      </c>
    </row>
    <row r="21" spans="1:9" x14ac:dyDescent="0.25">
      <c r="A21" t="s">
        <v>17</v>
      </c>
      <c r="B21">
        <f>'Case 3'!C12</f>
        <v>4</v>
      </c>
      <c r="F21" t="s">
        <v>17</v>
      </c>
      <c r="G21">
        <f>'Case 4'!C22</f>
        <v>9</v>
      </c>
    </row>
    <row r="23" spans="1:9" x14ac:dyDescent="0.25">
      <c r="A23" t="s">
        <v>76</v>
      </c>
      <c r="B23" t="s">
        <v>37</v>
      </c>
      <c r="C23" t="s">
        <v>79</v>
      </c>
      <c r="D23" t="s">
        <v>78</v>
      </c>
      <c r="F23" t="s">
        <v>76</v>
      </c>
      <c r="G23" t="s">
        <v>37</v>
      </c>
      <c r="H23" t="s">
        <v>79</v>
      </c>
      <c r="I23" t="s">
        <v>78</v>
      </c>
    </row>
    <row r="24" spans="1:9" x14ac:dyDescent="0.25">
      <c r="A24" t="s">
        <v>74</v>
      </c>
      <c r="B24">
        <f>B18</f>
        <v>2</v>
      </c>
      <c r="C24">
        <f>B21</f>
        <v>4</v>
      </c>
      <c r="D24" s="15">
        <f>100*B24/C24</f>
        <v>50</v>
      </c>
      <c r="F24" t="s">
        <v>74</v>
      </c>
      <c r="G24">
        <f>G18</f>
        <v>4</v>
      </c>
      <c r="H24">
        <f>G21</f>
        <v>9</v>
      </c>
      <c r="I24" s="15">
        <f>100*G24/H24</f>
        <v>44.444444444444443</v>
      </c>
    </row>
    <row r="25" spans="1:9" x14ac:dyDescent="0.25">
      <c r="A25" t="s">
        <v>75</v>
      </c>
      <c r="B25">
        <f>B19</f>
        <v>3</v>
      </c>
      <c r="C25">
        <f>B21</f>
        <v>4</v>
      </c>
      <c r="D25" s="15">
        <f>100*B25/C25</f>
        <v>75</v>
      </c>
      <c r="F25" t="s">
        <v>75</v>
      </c>
      <c r="G25">
        <f>G19</f>
        <v>8</v>
      </c>
      <c r="H25">
        <f>G21</f>
        <v>9</v>
      </c>
      <c r="I25" s="15">
        <f>100*G25/H25</f>
        <v>88.888888888888886</v>
      </c>
    </row>
    <row r="26" spans="1:9" x14ac:dyDescent="0.25">
      <c r="A26" t="s">
        <v>77</v>
      </c>
      <c r="B26" s="1">
        <f>ROUND((0.5*(LOG10(B20/B21)+1)*B21)*10,0)/10</f>
        <v>1.8</v>
      </c>
      <c r="C26">
        <f>B21*0.5</f>
        <v>2</v>
      </c>
      <c r="D26" s="16">
        <f>100*B26/C26</f>
        <v>90</v>
      </c>
      <c r="F26" t="s">
        <v>77</v>
      </c>
      <c r="G26" s="1">
        <f>ROUND((0.5*(LOG10(G20/G21)+1)*G21)*10,0)/10</f>
        <v>3.4</v>
      </c>
      <c r="H26">
        <f>G21*0.5</f>
        <v>4.5</v>
      </c>
      <c r="I26" s="16">
        <f>100*G26/H26</f>
        <v>75.555555555555557</v>
      </c>
    </row>
    <row r="27" spans="1:9" x14ac:dyDescent="0.25">
      <c r="A27" t="s">
        <v>0</v>
      </c>
      <c r="B27">
        <f>ROUND(SUM(B24:B26)*10,0)/10</f>
        <v>6.8</v>
      </c>
      <c r="C27">
        <f>SUM(C24:C26)</f>
        <v>10</v>
      </c>
      <c r="D27">
        <f>100*B27/C27</f>
        <v>68</v>
      </c>
      <c r="F27" t="s">
        <v>0</v>
      </c>
      <c r="G27">
        <f>ROUND(SUM(G24:G26)*10,0)/10</f>
        <v>15.4</v>
      </c>
      <c r="H27">
        <f>SUM(H24:H26)</f>
        <v>22.5</v>
      </c>
      <c r="I27" s="1">
        <f>100*G27/H27</f>
        <v>68.444444444444443</v>
      </c>
    </row>
    <row r="31" spans="1:9" x14ac:dyDescent="0.25">
      <c r="A31" t="s">
        <v>86</v>
      </c>
      <c r="F31" t="s">
        <v>87</v>
      </c>
    </row>
    <row r="32" spans="1:9" x14ac:dyDescent="0.25">
      <c r="A32" t="s">
        <v>81</v>
      </c>
      <c r="B32">
        <f>'Case 5A'!C11</f>
        <v>2</v>
      </c>
      <c r="F32" t="s">
        <v>81</v>
      </c>
      <c r="G32">
        <f>'Case 5B'!C12</f>
        <v>2</v>
      </c>
    </row>
    <row r="33" spans="1:9" x14ac:dyDescent="0.25">
      <c r="A33" t="s">
        <v>82</v>
      </c>
      <c r="B33">
        <f>'Case 5A'!C12</f>
        <v>2</v>
      </c>
      <c r="F33" t="s">
        <v>82</v>
      </c>
      <c r="G33">
        <f>'Case 5B'!C13</f>
        <v>2</v>
      </c>
    </row>
    <row r="34" spans="1:9" x14ac:dyDescent="0.25">
      <c r="A34" t="s">
        <v>83</v>
      </c>
      <c r="B34">
        <f>'Case 5A'!C13</f>
        <v>1</v>
      </c>
      <c r="F34" t="s">
        <v>83</v>
      </c>
      <c r="G34">
        <f>'Case 5B'!C14</f>
        <v>3</v>
      </c>
    </row>
    <row r="35" spans="1:9" x14ac:dyDescent="0.25">
      <c r="A35" t="s">
        <v>17</v>
      </c>
      <c r="B35">
        <f>'Case 5A'!C10</f>
        <v>3</v>
      </c>
      <c r="F35" t="s">
        <v>17</v>
      </c>
      <c r="G35">
        <f>'Case 5B'!C11</f>
        <v>3</v>
      </c>
    </row>
    <row r="37" spans="1:9" x14ac:dyDescent="0.25">
      <c r="A37" t="s">
        <v>76</v>
      </c>
      <c r="B37" t="s">
        <v>37</v>
      </c>
      <c r="C37" t="s">
        <v>79</v>
      </c>
      <c r="D37" t="s">
        <v>78</v>
      </c>
      <c r="F37" t="s">
        <v>76</v>
      </c>
      <c r="G37" t="s">
        <v>37</v>
      </c>
      <c r="H37" t="s">
        <v>79</v>
      </c>
      <c r="I37" t="s">
        <v>78</v>
      </c>
    </row>
    <row r="38" spans="1:9" x14ac:dyDescent="0.25">
      <c r="A38" t="s">
        <v>74</v>
      </c>
      <c r="B38">
        <f>B32</f>
        <v>2</v>
      </c>
      <c r="C38">
        <f>B35</f>
        <v>3</v>
      </c>
      <c r="D38" s="15">
        <f>100*B38/C38</f>
        <v>66.666666666666671</v>
      </c>
      <c r="F38" t="s">
        <v>74</v>
      </c>
      <c r="G38">
        <f>G32</f>
        <v>2</v>
      </c>
      <c r="H38">
        <f>G35</f>
        <v>3</v>
      </c>
      <c r="I38" s="15">
        <f>100*G38/H38</f>
        <v>66.666666666666671</v>
      </c>
    </row>
    <row r="39" spans="1:9" x14ac:dyDescent="0.25">
      <c r="A39" t="s">
        <v>75</v>
      </c>
      <c r="B39">
        <f>B33</f>
        <v>2</v>
      </c>
      <c r="C39">
        <f>B35</f>
        <v>3</v>
      </c>
      <c r="D39" s="15">
        <f>100*B39/C39</f>
        <v>66.666666666666671</v>
      </c>
      <c r="F39" t="s">
        <v>75</v>
      </c>
      <c r="G39">
        <f>G33</f>
        <v>2</v>
      </c>
      <c r="H39">
        <f>G35</f>
        <v>3</v>
      </c>
      <c r="I39" s="15">
        <f>100*G39/H39</f>
        <v>66.666666666666671</v>
      </c>
    </row>
    <row r="40" spans="1:9" x14ac:dyDescent="0.25">
      <c r="A40" t="s">
        <v>77</v>
      </c>
      <c r="B40" s="1">
        <f>ROUND((0.5*(LOG10(B34/B35)+1)*B35)*10,0)/10</f>
        <v>0.8</v>
      </c>
      <c r="C40">
        <f>B35*0.5</f>
        <v>1.5</v>
      </c>
      <c r="D40" s="16">
        <f>100*B40/C40</f>
        <v>53.333333333333336</v>
      </c>
      <c r="F40" t="s">
        <v>77</v>
      </c>
      <c r="G40" s="1">
        <f>ROUND((0.5*(LOG10(G34/G35)+1)*G35)*10,0)/10</f>
        <v>1.5</v>
      </c>
      <c r="H40">
        <f>G35*0.5</f>
        <v>1.5</v>
      </c>
      <c r="I40" s="16">
        <f>100*G40/H40</f>
        <v>100</v>
      </c>
    </row>
    <row r="41" spans="1:9" x14ac:dyDescent="0.25">
      <c r="A41" t="s">
        <v>0</v>
      </c>
      <c r="B41">
        <f>ROUND(SUM(B38:B40)*10,0)/10</f>
        <v>4.8</v>
      </c>
      <c r="C41">
        <f>SUM(C38:C40)</f>
        <v>7.5</v>
      </c>
      <c r="D41">
        <f>100*B41/C41</f>
        <v>64</v>
      </c>
      <c r="F41" t="s">
        <v>0</v>
      </c>
      <c r="G41">
        <f>ROUND(SUM(G38:G40)*10,0)/10</f>
        <v>5.5</v>
      </c>
      <c r="H41">
        <f>SUM(H38:H40)</f>
        <v>7.5</v>
      </c>
      <c r="I41" s="1">
        <f>100*G41/H41</f>
        <v>73.333333333333329</v>
      </c>
    </row>
    <row r="43" spans="1:9" x14ac:dyDescent="0.25">
      <c r="A43" t="s">
        <v>88</v>
      </c>
      <c r="F43" t="s">
        <v>89</v>
      </c>
    </row>
    <row r="44" spans="1:9" x14ac:dyDescent="0.25">
      <c r="A44" t="s">
        <v>81</v>
      </c>
      <c r="B44">
        <f>'Case 5C'!C11</f>
        <v>2</v>
      </c>
      <c r="F44" t="s">
        <v>81</v>
      </c>
      <c r="G44">
        <f>'Case 5D'!C11</f>
        <v>2</v>
      </c>
    </row>
    <row r="45" spans="1:9" x14ac:dyDescent="0.25">
      <c r="A45" t="s">
        <v>82</v>
      </c>
      <c r="B45">
        <f>'Case 5C'!C12</f>
        <v>2</v>
      </c>
      <c r="F45" t="s">
        <v>82</v>
      </c>
      <c r="G45">
        <f>'Case 5D'!C12</f>
        <v>2</v>
      </c>
    </row>
    <row r="46" spans="1:9" x14ac:dyDescent="0.25">
      <c r="A46" t="s">
        <v>83</v>
      </c>
      <c r="B46">
        <f>'Case 5C'!C13</f>
        <v>1</v>
      </c>
      <c r="F46" t="s">
        <v>83</v>
      </c>
      <c r="G46">
        <f>'Case 5D'!C13</f>
        <v>1</v>
      </c>
    </row>
    <row r="47" spans="1:9" x14ac:dyDescent="0.25">
      <c r="A47" t="s">
        <v>17</v>
      </c>
      <c r="B47">
        <f>'Case 5C'!C10</f>
        <v>3</v>
      </c>
      <c r="F47" t="s">
        <v>17</v>
      </c>
      <c r="G47">
        <f>'Case 5D'!C10</f>
        <v>3</v>
      </c>
    </row>
    <row r="49" spans="1:9" x14ac:dyDescent="0.25">
      <c r="A49" t="s">
        <v>76</v>
      </c>
      <c r="B49" t="s">
        <v>37</v>
      </c>
      <c r="C49" t="s">
        <v>79</v>
      </c>
      <c r="D49" t="s">
        <v>78</v>
      </c>
      <c r="F49" t="s">
        <v>76</v>
      </c>
      <c r="G49" t="s">
        <v>37</v>
      </c>
      <c r="H49" t="s">
        <v>79</v>
      </c>
      <c r="I49" t="s">
        <v>78</v>
      </c>
    </row>
    <row r="50" spans="1:9" x14ac:dyDescent="0.25">
      <c r="A50" t="s">
        <v>74</v>
      </c>
      <c r="B50">
        <f>B44</f>
        <v>2</v>
      </c>
      <c r="C50">
        <f>B47</f>
        <v>3</v>
      </c>
      <c r="D50" s="15">
        <f>100*B50/C50</f>
        <v>66.666666666666671</v>
      </c>
      <c r="F50" t="s">
        <v>74</v>
      </c>
      <c r="G50">
        <f>G44</f>
        <v>2</v>
      </c>
      <c r="H50">
        <f>G47</f>
        <v>3</v>
      </c>
      <c r="I50" s="15">
        <f>100*G50/H50</f>
        <v>66.666666666666671</v>
      </c>
    </row>
    <row r="51" spans="1:9" x14ac:dyDescent="0.25">
      <c r="A51" t="s">
        <v>75</v>
      </c>
      <c r="B51">
        <f>B45</f>
        <v>2</v>
      </c>
      <c r="C51">
        <f>B47</f>
        <v>3</v>
      </c>
      <c r="D51" s="15">
        <f>100*B51/C51</f>
        <v>66.666666666666671</v>
      </c>
      <c r="F51" t="s">
        <v>75</v>
      </c>
      <c r="G51">
        <f>G45</f>
        <v>2</v>
      </c>
      <c r="H51">
        <f>G47</f>
        <v>3</v>
      </c>
      <c r="I51" s="15">
        <f>100*G51/H51</f>
        <v>66.666666666666671</v>
      </c>
    </row>
    <row r="52" spans="1:9" x14ac:dyDescent="0.25">
      <c r="A52" t="s">
        <v>77</v>
      </c>
      <c r="B52" s="1">
        <f>ROUND((0.5*(LOG10(B46/B47)+1)*B47)*10,0)/10</f>
        <v>0.8</v>
      </c>
      <c r="C52">
        <f>B47*0.5</f>
        <v>1.5</v>
      </c>
      <c r="D52" s="16">
        <f>100*B52/C52</f>
        <v>53.333333333333336</v>
      </c>
      <c r="F52" t="s">
        <v>77</v>
      </c>
      <c r="G52" s="1">
        <f>ROUND((0.5*(LOG10(G46/G47)+1)*G47)*10,0)/10</f>
        <v>0.8</v>
      </c>
      <c r="H52">
        <f>G47*0.5</f>
        <v>1.5</v>
      </c>
      <c r="I52" s="16">
        <f>100*G52/H52</f>
        <v>53.333333333333336</v>
      </c>
    </row>
    <row r="53" spans="1:9" x14ac:dyDescent="0.25">
      <c r="A53" t="s">
        <v>0</v>
      </c>
      <c r="B53">
        <f>ROUND(SUM(B50:B52)*10,0)/10</f>
        <v>4.8</v>
      </c>
      <c r="C53">
        <f>SUM(C50:C52)</f>
        <v>7.5</v>
      </c>
      <c r="D53">
        <f>100*B53/C53</f>
        <v>64</v>
      </c>
      <c r="F53" t="s">
        <v>0</v>
      </c>
      <c r="G53">
        <f>ROUND(SUM(G50:G52)*10,0)/10</f>
        <v>4.8</v>
      </c>
      <c r="H53">
        <f>SUM(H50:H52)</f>
        <v>7.5</v>
      </c>
      <c r="I53">
        <f>100*G53/H53</f>
        <v>64</v>
      </c>
    </row>
    <row r="56" spans="1:9" x14ac:dyDescent="0.25">
      <c r="A56" t="s">
        <v>90</v>
      </c>
    </row>
    <row r="57" spans="1:9" x14ac:dyDescent="0.25">
      <c r="A57" t="s">
        <v>81</v>
      </c>
      <c r="B57">
        <f>'Case 6'!C28</f>
        <v>17</v>
      </c>
    </row>
    <row r="58" spans="1:9" x14ac:dyDescent="0.25">
      <c r="A58" t="s">
        <v>82</v>
      </c>
      <c r="B58">
        <f>'Case 6'!C29</f>
        <v>10</v>
      </c>
    </row>
    <row r="59" spans="1:9" x14ac:dyDescent="0.25">
      <c r="A59" t="s">
        <v>83</v>
      </c>
      <c r="B59">
        <f>'Case 6'!C30</f>
        <v>8</v>
      </c>
    </row>
    <row r="60" spans="1:9" x14ac:dyDescent="0.25">
      <c r="A60" t="s">
        <v>17</v>
      </c>
      <c r="B60">
        <f>'Case 6'!C27</f>
        <v>19</v>
      </c>
    </row>
    <row r="62" spans="1:9" x14ac:dyDescent="0.25">
      <c r="A62" t="s">
        <v>76</v>
      </c>
      <c r="B62" t="s">
        <v>37</v>
      </c>
      <c r="C62" t="s">
        <v>79</v>
      </c>
      <c r="D62" t="s">
        <v>78</v>
      </c>
    </row>
    <row r="63" spans="1:9" x14ac:dyDescent="0.25">
      <c r="A63" t="s">
        <v>74</v>
      </c>
      <c r="B63">
        <f>B57</f>
        <v>17</v>
      </c>
      <c r="C63">
        <f>B60</f>
        <v>19</v>
      </c>
      <c r="D63" s="15">
        <f>100*B63/C63</f>
        <v>89.473684210526315</v>
      </c>
    </row>
    <row r="64" spans="1:9" x14ac:dyDescent="0.25">
      <c r="A64" t="s">
        <v>75</v>
      </c>
      <c r="B64">
        <f>B58</f>
        <v>10</v>
      </c>
      <c r="C64">
        <f>B60</f>
        <v>19</v>
      </c>
      <c r="D64" s="15">
        <f>100*B64/C64</f>
        <v>52.631578947368418</v>
      </c>
    </row>
    <row r="65" spans="1:4" x14ac:dyDescent="0.25">
      <c r="A65" t="s">
        <v>77</v>
      </c>
      <c r="B65" s="1">
        <f>ROUND((0.5*(LOG10(B59/B60)+1)*B60)*10,0)/10</f>
        <v>5.9</v>
      </c>
      <c r="C65">
        <f>B60*0.5</f>
        <v>9.5</v>
      </c>
      <c r="D65" s="16">
        <f>100*B65/C65</f>
        <v>62.10526315789474</v>
      </c>
    </row>
    <row r="66" spans="1:4" x14ac:dyDescent="0.25">
      <c r="A66" t="s">
        <v>0</v>
      </c>
      <c r="B66">
        <f>ROUND(SUM(B63:B65)*10,0)/10</f>
        <v>32.9</v>
      </c>
      <c r="C66">
        <f>SUM(C63:C65)</f>
        <v>47.5</v>
      </c>
      <c r="D66" s="1">
        <f>100*B66/C66</f>
        <v>69.263157894736835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1AFA-6B02-4F67-A61D-816ADEC4D212}">
  <dimension ref="A3:E12"/>
  <sheetViews>
    <sheetView zoomScale="85" zoomScaleNormal="85" workbookViewId="0">
      <selection activeCell="F20" sqref="F20"/>
    </sheetView>
  </sheetViews>
  <sheetFormatPr defaultRowHeight="15" x14ac:dyDescent="0.25"/>
  <cols>
    <col min="1" max="1" width="31.5703125" customWidth="1"/>
    <col min="2" max="2" width="29.28515625" customWidth="1"/>
    <col min="3" max="3" width="25.85546875" customWidth="1"/>
    <col min="4" max="4" width="23.5703125" customWidth="1"/>
    <col min="5" max="5" width="23.140625" customWidth="1"/>
  </cols>
  <sheetData>
    <row r="3" spans="1:5" x14ac:dyDescent="0.25">
      <c r="B3" t="s">
        <v>92</v>
      </c>
      <c r="C3" t="s">
        <v>93</v>
      </c>
      <c r="D3" t="s">
        <v>94</v>
      </c>
      <c r="E3" t="s">
        <v>91</v>
      </c>
    </row>
    <row r="4" spans="1:5" x14ac:dyDescent="0.25">
      <c r="A4" t="s">
        <v>73</v>
      </c>
      <c r="B4">
        <f>'Alignment Score Computation'!D10*0.4</f>
        <v>40</v>
      </c>
      <c r="C4">
        <f>'Alignment Score Computation'!D11*0.4</f>
        <v>32</v>
      </c>
      <c r="D4">
        <f>'Alignment Score Computation'!D12*0.2</f>
        <v>18.399999999999999</v>
      </c>
      <c r="E4">
        <f>SUM(B4:D4)</f>
        <v>90.4</v>
      </c>
    </row>
    <row r="5" spans="1:5" x14ac:dyDescent="0.25">
      <c r="A5" t="s">
        <v>80</v>
      </c>
      <c r="B5">
        <f>'Alignment Score Computation'!I10*0.4</f>
        <v>40</v>
      </c>
      <c r="C5">
        <f>'Alignment Score Computation'!I11*0.4</f>
        <v>40</v>
      </c>
      <c r="D5">
        <f>'Alignment Score Computation'!I12*0.2</f>
        <v>20</v>
      </c>
      <c r="E5">
        <f t="shared" ref="E5:E12" si="0">SUM(B5:D5)</f>
        <v>100</v>
      </c>
    </row>
    <row r="6" spans="1:5" x14ac:dyDescent="0.25">
      <c r="A6" t="s">
        <v>84</v>
      </c>
      <c r="B6">
        <f>'Alignment Score Computation'!D24*0.4</f>
        <v>20</v>
      </c>
      <c r="C6">
        <f>'Alignment Score Computation'!D25*0.4</f>
        <v>30</v>
      </c>
      <c r="D6">
        <f>'Alignment Score Computation'!D26*0.2</f>
        <v>18</v>
      </c>
      <c r="E6">
        <f t="shared" si="0"/>
        <v>68</v>
      </c>
    </row>
    <row r="7" spans="1:5" x14ac:dyDescent="0.25">
      <c r="A7" t="s">
        <v>85</v>
      </c>
      <c r="B7" s="1">
        <f>'Alignment Score Computation'!I24*0.4</f>
        <v>17.777777777777779</v>
      </c>
      <c r="C7" s="1">
        <f>'Alignment Score Computation'!I25*0.4</f>
        <v>35.555555555555557</v>
      </c>
      <c r="D7" s="1">
        <f>'Alignment Score Computation'!I26*0.2</f>
        <v>15.111111111111112</v>
      </c>
      <c r="E7" s="1">
        <f t="shared" si="0"/>
        <v>68.444444444444443</v>
      </c>
    </row>
    <row r="8" spans="1:5" x14ac:dyDescent="0.25">
      <c r="A8" t="s">
        <v>86</v>
      </c>
      <c r="B8" s="1">
        <f>'Alignment Score Computation'!D38*0.4</f>
        <v>26.666666666666671</v>
      </c>
      <c r="C8" s="1">
        <f>'Alignment Score Computation'!D39*0.4</f>
        <v>26.666666666666671</v>
      </c>
      <c r="D8" s="1">
        <f>'Alignment Score Computation'!D40*0.2</f>
        <v>10.666666666666668</v>
      </c>
      <c r="E8">
        <f t="shared" si="0"/>
        <v>64.000000000000014</v>
      </c>
    </row>
    <row r="9" spans="1:5" x14ac:dyDescent="0.25">
      <c r="A9" t="s">
        <v>87</v>
      </c>
      <c r="B9" s="1">
        <f>'Alignment Score Computation'!I38*0.4</f>
        <v>26.666666666666671</v>
      </c>
      <c r="C9" s="1">
        <f>'Alignment Score Computation'!I39*0.4</f>
        <v>26.666666666666671</v>
      </c>
      <c r="D9">
        <f>'Alignment Score Computation'!I40*0.2</f>
        <v>20</v>
      </c>
      <c r="E9" s="1">
        <f t="shared" si="0"/>
        <v>73.333333333333343</v>
      </c>
    </row>
    <row r="10" spans="1:5" x14ac:dyDescent="0.25">
      <c r="A10" t="s">
        <v>88</v>
      </c>
      <c r="B10" s="1">
        <f>'Alignment Score Computation'!D50*0.4</f>
        <v>26.666666666666671</v>
      </c>
      <c r="C10" s="1">
        <f>'Alignment Score Computation'!D51*0.4</f>
        <v>26.666666666666671</v>
      </c>
      <c r="D10" s="1">
        <f>'Alignment Score Computation'!D52*0.2</f>
        <v>10.666666666666668</v>
      </c>
      <c r="E10">
        <f t="shared" si="0"/>
        <v>64.000000000000014</v>
      </c>
    </row>
    <row r="11" spans="1:5" x14ac:dyDescent="0.25">
      <c r="A11" t="s">
        <v>89</v>
      </c>
      <c r="B11" s="1">
        <f>'Alignment Score Computation'!I50*0.4</f>
        <v>26.666666666666671</v>
      </c>
      <c r="C11" s="1">
        <f>'Alignment Score Computation'!I51*0.4</f>
        <v>26.666666666666671</v>
      </c>
      <c r="D11" s="1">
        <f>'Alignment Score Computation'!I52*0.2</f>
        <v>10.666666666666668</v>
      </c>
      <c r="E11">
        <f t="shared" si="0"/>
        <v>64.000000000000014</v>
      </c>
    </row>
    <row r="12" spans="1:5" x14ac:dyDescent="0.25">
      <c r="A12" t="s">
        <v>90</v>
      </c>
      <c r="B12" s="1">
        <f>'Alignment Score Computation'!D63*0.4</f>
        <v>35.789473684210527</v>
      </c>
      <c r="C12" s="1">
        <f>'Alignment Score Computation'!D64*0.4</f>
        <v>21.05263157894737</v>
      </c>
      <c r="D12" s="1">
        <f>'Alignment Score Computation'!D65*0.2</f>
        <v>12.421052631578949</v>
      </c>
      <c r="E12" s="1">
        <f t="shared" si="0"/>
        <v>69.26315789473685</v>
      </c>
    </row>
  </sheetData>
  <pageMargins left="0.7" right="0.7" top="0.75" bottom="0.75" header="0.3" footer="0.3"/>
  <pageSetup paperSize="9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 1</vt:lpstr>
      <vt:lpstr>Case 2</vt:lpstr>
      <vt:lpstr>Case 3</vt:lpstr>
      <vt:lpstr>Case 4</vt:lpstr>
      <vt:lpstr>Case 5A</vt:lpstr>
      <vt:lpstr>Case 5B</vt:lpstr>
      <vt:lpstr>Case 5C</vt:lpstr>
      <vt:lpstr>Case 5D</vt:lpstr>
      <vt:lpstr>Case 6</vt:lpstr>
      <vt:lpstr>Alignment Score Computation</vt:lpstr>
      <vt:lpstr>Alignment Scores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2026-10-13T10:40:32Z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